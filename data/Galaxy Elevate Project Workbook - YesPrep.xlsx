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C:\CSOD\data\"/>
    </mc:Choice>
  </mc:AlternateContent>
  <xr:revisionPtr revIDLastSave="0" documentId="13_ncr:1_{77170B1C-C15C-4916-AC31-FF27B163E602}" xr6:coauthVersionLast="47" xr6:coauthVersionMax="47" xr10:uidLastSave="{00000000-0000-0000-0000-000000000000}"/>
  <bookViews>
    <workbookView xWindow="-108" yWindow="-108" windowWidth="23256" windowHeight="13896" firstSheet="4" activeTab="4" xr2:uid="{BAD4883D-020D-7B47-97B8-C29036563E3F}"/>
  </bookViews>
  <sheets>
    <sheet name="Reversion History" sheetId="31" state="hidden" r:id="rId1"/>
    <sheet name="Lists" sheetId="5" state="hidden" r:id="rId2"/>
    <sheet name="Executive Summary" sheetId="13" r:id="rId3"/>
    <sheet name="Performance Agenda" sheetId="32" state="hidden" r:id="rId4"/>
    <sheet name="Performance Milestones" sheetId="33" r:id="rId5"/>
    <sheet name="Performance Planner" sheetId="35" r:id="rId6"/>
    <sheet name="RAID Log" sheetId="21" r:id="rId7"/>
    <sheet name="Timeline" sheetId="28" state="hidden" r:id="rId8"/>
    <sheet name="Enterprise Timeline" sheetId="27" state="hidden" r:id="rId9"/>
    <sheet name="Project Timeline" sheetId="29" state="hidden" r:id="rId10"/>
    <sheet name="Hypercare Log" sheetId="30" r:id="rId11"/>
    <sheet name="COMING SOON LMS LXP" sheetId="15" state="hidden" r:id="rId12"/>
  </sheets>
  <externalReferences>
    <externalReference r:id="rId13"/>
    <externalReference r:id="rId14"/>
    <externalReference r:id="rId15"/>
    <externalReference r:id="rId16"/>
  </externalReferences>
  <definedNames>
    <definedName name="a">#REF!</definedName>
    <definedName name="Choose_Package">#REF!</definedName>
    <definedName name="data">#REF!</definedName>
    <definedName name="FiscalYear">#REF!</definedName>
    <definedName name="lista">#REF!</definedName>
    <definedName name="LMSchecklist">#REF!</definedName>
    <definedName name="no">#REF!</definedName>
    <definedName name="noyes">#REF!</definedName>
    <definedName name="Package">#REF!</definedName>
    <definedName name="_xlnm.Print_Titles" localSheetId="9">'Project Timeline'!$6:$9</definedName>
    <definedName name="_xlnm.Print_Titles" localSheetId="7">Timeline!$5:$7</definedName>
    <definedName name="Priority">'[1]data List'!$D$2:$D$7</definedName>
    <definedName name="prioritylist">#REF!</definedName>
    <definedName name="prioritylist1">#REF!</definedName>
    <definedName name="Project_Start" localSheetId="9">'Project Timeline'!$C$6</definedName>
    <definedName name="Project_Start" localSheetId="7">Timeline!#REF!</definedName>
    <definedName name="Project_Start">#REF!</definedName>
    <definedName name="Roles">#REF!</definedName>
    <definedName name="Scrolling_Increment" localSheetId="9">'Project Timeline'!$C$7</definedName>
    <definedName name="Scrolling_Increment" localSheetId="7">Timeline!#REF!</definedName>
    <definedName name="Scrolling_Increment">#REF!</definedName>
    <definedName name="sections" localSheetId="1">'[2]Drop-down'!#REF!</definedName>
    <definedName name="sections" localSheetId="6">'[2]Drop-down'!#REF!</definedName>
    <definedName name="sections">'[2]Drop-down'!#REF!</definedName>
    <definedName name="STATUS">'[1]data List'!$C$2:$C$10</definedName>
    <definedName name="test">#REF!</definedName>
    <definedName name="Thresholds" localSheetId="1">Lists!$I$2:$J$5</definedName>
    <definedName name="Thresholds">[3]Lists!$I$2:$J$5</definedName>
    <definedName name="Title1">[4]!Incoming[[#Headers],[Date]]</definedName>
    <definedName name="Title2">#REF!</definedName>
    <definedName name="Today" localSheetId="9">TODAY()</definedName>
    <definedName name="Today" localSheetId="7">TODAY()</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33" l="1"/>
  <c r="B36" i="33"/>
  <c r="B37" i="33" s="1"/>
  <c r="B35" i="33"/>
  <c r="B33" i="33"/>
  <c r="B31" i="33"/>
  <c r="B28" i="33"/>
  <c r="B29" i="33"/>
  <c r="B27" i="33"/>
  <c r="B22" i="33"/>
  <c r="B23" i="33"/>
  <c r="B24" i="33"/>
  <c r="B25" i="33"/>
  <c r="B21" i="33"/>
  <c r="B19" i="33"/>
  <c r="B18" i="33"/>
  <c r="B17" i="33"/>
  <c r="B16" i="33"/>
  <c r="B15" i="33"/>
  <c r="B10" i="33"/>
  <c r="B11" i="33"/>
  <c r="B12" i="33"/>
  <c r="B13" i="33"/>
  <c r="B9" i="33"/>
  <c r="B8" i="33"/>
  <c r="B6" i="33"/>
  <c r="B5" i="33"/>
  <c r="B4" i="33"/>
  <c r="C15" i="35"/>
  <c r="G10" i="32" l="1"/>
  <c r="G12" i="32"/>
  <c r="G9" i="32"/>
  <c r="G8" i="32"/>
  <c r="G7" i="32"/>
  <c r="HJ11" i="29" l="1"/>
  <c r="HJ12" i="29"/>
  <c r="HJ15" i="29"/>
  <c r="HJ18" i="29"/>
  <c r="HJ19" i="29"/>
  <c r="HJ24" i="29"/>
  <c r="HJ25" i="29"/>
  <c r="HJ26" i="29"/>
  <c r="HJ27" i="29"/>
  <c r="HF11" i="29"/>
  <c r="HG11" i="29"/>
  <c r="HH11" i="29"/>
  <c r="HI11" i="29"/>
  <c r="HF12" i="29"/>
  <c r="HG12" i="29"/>
  <c r="HH12" i="29"/>
  <c r="HI12" i="29"/>
  <c r="HF15" i="29"/>
  <c r="HG15" i="29"/>
  <c r="HH15" i="29"/>
  <c r="HI15" i="29"/>
  <c r="HF18" i="29"/>
  <c r="HG18" i="29"/>
  <c r="HH18" i="29"/>
  <c r="HI18" i="29"/>
  <c r="HF19" i="29"/>
  <c r="HG19" i="29"/>
  <c r="HH19" i="29"/>
  <c r="HI19" i="29"/>
  <c r="HF24" i="29"/>
  <c r="HG24" i="29"/>
  <c r="HH24" i="29"/>
  <c r="HI24" i="29"/>
  <c r="HF25" i="29"/>
  <c r="HG25" i="29"/>
  <c r="HH25" i="29"/>
  <c r="HI25" i="29"/>
  <c r="HF26" i="29"/>
  <c r="HG26" i="29"/>
  <c r="HH26" i="29"/>
  <c r="HI26" i="29"/>
  <c r="HF27" i="29"/>
  <c r="HG27" i="29"/>
  <c r="HH27" i="29"/>
  <c r="HI27" i="29"/>
  <c r="O11" i="29"/>
  <c r="P11" i="29"/>
  <c r="Q11" i="29"/>
  <c r="O12" i="29"/>
  <c r="P12" i="29"/>
  <c r="Q12" i="29"/>
  <c r="G14" i="32" l="1"/>
  <c r="G13" i="32"/>
  <c r="G6" i="32"/>
  <c r="G11" i="32"/>
  <c r="G5" i="32"/>
  <c r="G4" i="32"/>
  <c r="G3" i="32"/>
  <c r="E21" i="29" l="1"/>
  <c r="HJ21" i="29" s="1"/>
  <c r="E16" i="29"/>
  <c r="HJ16" i="29" s="1"/>
  <c r="E14" i="29"/>
  <c r="HJ14" i="29" s="1"/>
  <c r="HJ13" i="29"/>
  <c r="E1" i="21"/>
  <c r="E23" i="29" l="1"/>
  <c r="HJ23" i="29" s="1"/>
  <c r="HF14" i="29"/>
  <c r="HG14" i="29"/>
  <c r="HH14" i="29"/>
  <c r="HI14" i="29"/>
  <c r="HF16" i="29"/>
  <c r="HG16" i="29"/>
  <c r="HH16" i="29"/>
  <c r="HI16" i="29"/>
  <c r="E22" i="29"/>
  <c r="HJ22" i="29" s="1"/>
  <c r="HH21" i="29"/>
  <c r="HI21" i="29"/>
  <c r="HF21" i="29"/>
  <c r="HG21" i="29"/>
  <c r="HF13" i="29"/>
  <c r="HH13" i="29"/>
  <c r="HG13" i="29"/>
  <c r="HI13" i="29"/>
  <c r="O13" i="29"/>
  <c r="P13" i="29"/>
  <c r="Q13" i="29"/>
  <c r="H11" i="29"/>
  <c r="HF22" i="29" l="1"/>
  <c r="HG22" i="29"/>
  <c r="HH22" i="29"/>
  <c r="HI22" i="29"/>
  <c r="HG23" i="29"/>
  <c r="HH23" i="29"/>
  <c r="HI23" i="29"/>
  <c r="HF23" i="29"/>
  <c r="H12" i="29"/>
  <c r="H21" i="29"/>
  <c r="H16" i="29"/>
  <c r="H14" i="29"/>
  <c r="H13" i="29"/>
  <c r="H27" i="29"/>
  <c r="H24" i="29"/>
  <c r="I11" i="29"/>
  <c r="H23" i="29"/>
  <c r="H18" i="29"/>
  <c r="H22" i="29"/>
  <c r="H15" i="29"/>
  <c r="H26" i="29"/>
  <c r="H25" i="29"/>
  <c r="H19" i="29"/>
  <c r="I16" i="29" l="1"/>
  <c r="I12" i="29"/>
  <c r="I15" i="29"/>
  <c r="I14" i="29"/>
  <c r="I13" i="29"/>
  <c r="I19" i="29"/>
  <c r="I24" i="29"/>
  <c r="I23" i="29"/>
  <c r="I18" i="29"/>
  <c r="I22" i="29"/>
  <c r="I27" i="29"/>
  <c r="I21" i="29"/>
  <c r="I25" i="29"/>
  <c r="I26" i="29"/>
  <c r="K11" i="29" l="1"/>
  <c r="J11" i="29"/>
  <c r="J22" i="29"/>
  <c r="J16" i="29"/>
  <c r="J15" i="29"/>
  <c r="J12" i="29"/>
  <c r="J14" i="29"/>
  <c r="J24" i="29"/>
  <c r="J13" i="29"/>
  <c r="J21" i="29"/>
  <c r="J25" i="29"/>
  <c r="J19" i="29"/>
  <c r="J23" i="29"/>
  <c r="J18" i="29"/>
  <c r="J27" i="29"/>
  <c r="J26" i="29"/>
  <c r="K27" i="29" l="1"/>
  <c r="L11" i="29"/>
  <c r="K24" i="29"/>
  <c r="K22" i="29"/>
  <c r="K14" i="29"/>
  <c r="K13" i="29"/>
  <c r="K21" i="29"/>
  <c r="K26" i="29"/>
  <c r="K19" i="29"/>
  <c r="K16" i="29"/>
  <c r="K12" i="29"/>
  <c r="K25" i="29"/>
  <c r="K23" i="29"/>
  <c r="K18" i="29"/>
  <c r="K15" i="29"/>
  <c r="L12" i="29" l="1"/>
  <c r="L15" i="29"/>
  <c r="L24" i="29"/>
  <c r="L19" i="29"/>
  <c r="L21" i="29"/>
  <c r="L22" i="29"/>
  <c r="L14" i="29"/>
  <c r="L25" i="29"/>
  <c r="L27" i="29"/>
  <c r="L18" i="29"/>
  <c r="L26" i="29"/>
  <c r="L13" i="29"/>
  <c r="L16" i="29"/>
  <c r="M13" i="29"/>
  <c r="L23" i="29"/>
  <c r="M24" i="29" l="1"/>
  <c r="M21" i="29"/>
  <c r="M22" i="29"/>
  <c r="N19" i="29"/>
  <c r="M19" i="29"/>
  <c r="M23" i="29"/>
  <c r="M15" i="29"/>
  <c r="M18" i="29"/>
  <c r="M12" i="29"/>
  <c r="M16" i="29"/>
  <c r="M14" i="29"/>
  <c r="M27" i="29"/>
  <c r="M26" i="29"/>
  <c r="M11" i="29"/>
  <c r="M25" i="29"/>
  <c r="N18" i="29" l="1"/>
  <c r="N12" i="29"/>
  <c r="N25" i="29"/>
  <c r="N22" i="29"/>
  <c r="N24" i="29"/>
  <c r="N14" i="29"/>
  <c r="N26" i="29"/>
  <c r="N15" i="29"/>
  <c r="N11" i="29"/>
  <c r="N16" i="29"/>
  <c r="N21" i="29"/>
  <c r="N23" i="29"/>
  <c r="O25" i="29"/>
  <c r="N13" i="29"/>
  <c r="N27" i="29"/>
  <c r="O14" i="29" l="1"/>
  <c r="O27" i="29"/>
  <c r="O19" i="29"/>
  <c r="O22" i="29"/>
  <c r="O24" i="29"/>
  <c r="O16" i="29"/>
  <c r="O23" i="29"/>
  <c r="O18" i="29"/>
  <c r="O21" i="29"/>
  <c r="P18" i="29"/>
  <c r="O26" i="29"/>
  <c r="O15" i="29"/>
  <c r="P25" i="29" l="1"/>
  <c r="P27" i="29"/>
  <c r="P23" i="29"/>
  <c r="P21" i="29"/>
  <c r="P24" i="29"/>
  <c r="P14" i="29"/>
  <c r="Q21" i="29"/>
  <c r="P26" i="29"/>
  <c r="P16" i="29"/>
  <c r="P19" i="29"/>
  <c r="P22" i="29"/>
  <c r="P15" i="29"/>
  <c r="Q15" i="29" l="1"/>
  <c r="Q18" i="29"/>
  <c r="Q26" i="29"/>
  <c r="Q27" i="29"/>
  <c r="Q19" i="29"/>
  <c r="Q22" i="29"/>
  <c r="Q16" i="29"/>
  <c r="R27" i="29"/>
  <c r="Q14" i="29"/>
  <c r="Q25" i="29"/>
  <c r="Q23" i="29"/>
  <c r="Q24" i="29"/>
  <c r="R26" i="29" l="1"/>
  <c r="R11" i="29"/>
  <c r="R14" i="29"/>
  <c r="R25" i="29"/>
  <c r="R16" i="29"/>
  <c r="R13" i="29"/>
  <c r="R24" i="29"/>
  <c r="R19" i="29"/>
  <c r="R22" i="29"/>
  <c r="R23" i="29"/>
  <c r="R21" i="29"/>
  <c r="R15" i="29"/>
  <c r="R12" i="29"/>
  <c r="R18" i="29"/>
  <c r="S11" i="29" l="1"/>
  <c r="S15" i="29"/>
  <c r="S13" i="29"/>
  <c r="S12" i="29"/>
  <c r="S25" i="29"/>
  <c r="S24" i="29"/>
  <c r="S27" i="29"/>
  <c r="S18" i="29"/>
  <c r="S14" i="29"/>
  <c r="S21" i="29"/>
  <c r="S26" i="29"/>
  <c r="S23" i="29"/>
  <c r="S19" i="29"/>
  <c r="S22" i="29"/>
  <c r="S16" i="29"/>
  <c r="T11" i="29" l="1"/>
  <c r="T16" i="29"/>
  <c r="T23" i="29"/>
  <c r="T12" i="29"/>
  <c r="T22" i="29"/>
  <c r="T21" i="29"/>
  <c r="T15" i="29"/>
  <c r="T13" i="29"/>
  <c r="T24" i="29"/>
  <c r="T19" i="29"/>
  <c r="T14" i="29"/>
  <c r="T25" i="29"/>
  <c r="T27" i="29"/>
  <c r="T18" i="29"/>
  <c r="T26" i="29"/>
  <c r="U11" i="29" l="1"/>
  <c r="U19" i="29"/>
  <c r="U27" i="29"/>
  <c r="U18" i="29"/>
  <c r="U16" i="29"/>
  <c r="U26" i="29"/>
  <c r="U12" i="29"/>
  <c r="U22" i="29"/>
  <c r="U14" i="29"/>
  <c r="U25" i="29"/>
  <c r="U13" i="29"/>
  <c r="U15" i="29"/>
  <c r="U24" i="29"/>
  <c r="U21" i="29"/>
  <c r="U23" i="29"/>
  <c r="V11" i="29" l="1"/>
  <c r="V23" i="29"/>
  <c r="V27" i="29"/>
  <c r="V21" i="29"/>
  <c r="V19" i="29"/>
  <c r="V22" i="29"/>
  <c r="V16" i="29"/>
  <c r="V14" i="29"/>
  <c r="V18" i="29"/>
  <c r="V13" i="29"/>
  <c r="V26" i="29"/>
  <c r="V15" i="29"/>
  <c r="V12" i="29"/>
  <c r="V25" i="29"/>
  <c r="V24" i="29"/>
  <c r="W11" i="29" l="1"/>
  <c r="W21" i="29"/>
  <c r="W19" i="29"/>
  <c r="W13" i="29"/>
  <c r="W27" i="29"/>
  <c r="W15" i="29"/>
  <c r="W18" i="29"/>
  <c r="W12" i="29"/>
  <c r="W26" i="29"/>
  <c r="W14" i="29"/>
  <c r="W25" i="29"/>
  <c r="W24" i="29"/>
  <c r="W23" i="29"/>
  <c r="W16" i="29"/>
  <c r="W22" i="29"/>
  <c r="X11" i="29" l="1"/>
  <c r="X24" i="29"/>
  <c r="X18" i="29"/>
  <c r="X16" i="29"/>
  <c r="X26" i="29"/>
  <c r="X15" i="29"/>
  <c r="X27" i="29"/>
  <c r="X14" i="29"/>
  <c r="X23" i="29"/>
  <c r="X21" i="29"/>
  <c r="X19" i="29"/>
  <c r="X12" i="29"/>
  <c r="X25" i="29"/>
  <c r="X13" i="29"/>
  <c r="X22" i="29"/>
  <c r="Y11" i="29" l="1"/>
  <c r="Y22" i="29"/>
  <c r="Y24" i="29"/>
  <c r="Y23" i="29"/>
  <c r="Y21" i="29"/>
  <c r="Y26" i="29"/>
  <c r="Y25" i="29"/>
  <c r="Y13" i="29"/>
  <c r="Y14" i="29"/>
  <c r="Y16" i="29"/>
  <c r="Y15" i="29"/>
  <c r="Y12" i="29"/>
  <c r="Y18" i="29"/>
  <c r="Y19" i="29"/>
  <c r="Y27" i="29"/>
  <c r="Z26" i="29" l="1"/>
  <c r="Z22" i="29"/>
  <c r="Z24" i="29"/>
  <c r="Z18" i="29"/>
  <c r="Z16" i="29"/>
  <c r="Z23" i="29"/>
  <c r="Z13" i="29"/>
  <c r="Z12" i="29"/>
  <c r="Z25" i="29"/>
  <c r="Z14" i="29"/>
  <c r="Z21" i="29"/>
  <c r="Z19" i="29"/>
  <c r="Z15" i="29"/>
  <c r="Z27" i="29"/>
  <c r="AA11" i="29" l="1"/>
  <c r="AA12" i="29"/>
  <c r="AA23" i="29"/>
  <c r="AA18" i="29"/>
  <c r="AA16" i="29"/>
  <c r="AA25" i="29"/>
  <c r="AA22" i="29"/>
  <c r="AA24" i="29"/>
  <c r="AA14" i="29"/>
  <c r="AA26" i="29"/>
  <c r="AA15" i="29"/>
  <c r="AA13" i="29"/>
  <c r="AA19" i="29"/>
  <c r="AA21" i="29"/>
  <c r="AA27" i="29"/>
  <c r="AB11" i="29" l="1"/>
  <c r="AB14" i="29"/>
  <c r="AB15" i="29"/>
  <c r="AB13" i="29"/>
  <c r="AB18" i="29"/>
  <c r="AB23" i="29"/>
  <c r="AB16" i="29"/>
  <c r="AB27" i="29"/>
  <c r="AB25" i="29"/>
  <c r="AB19" i="29"/>
  <c r="AB22" i="29"/>
  <c r="AB24" i="29"/>
  <c r="AB21" i="29"/>
  <c r="AB12" i="29"/>
  <c r="AB26" i="29"/>
  <c r="AC11" i="29" l="1"/>
  <c r="AC16" i="29"/>
  <c r="AC14" i="29"/>
  <c r="AC25" i="29"/>
  <c r="AC22" i="29"/>
  <c r="AC18" i="29"/>
  <c r="AC21" i="29"/>
  <c r="AC15" i="29"/>
  <c r="AC26" i="29"/>
  <c r="AC27" i="29"/>
  <c r="AC19" i="29"/>
  <c r="AC13" i="29"/>
  <c r="AC12" i="29"/>
  <c r="AC23" i="29"/>
  <c r="AC24" i="29"/>
  <c r="AD11" i="29" l="1"/>
  <c r="AD23" i="29"/>
  <c r="AD16" i="29"/>
  <c r="AD12" i="29"/>
  <c r="AD15" i="29"/>
  <c r="AD25" i="29"/>
  <c r="AD21" i="29"/>
  <c r="AD27" i="29"/>
  <c r="AD26" i="29"/>
  <c r="AD19" i="29"/>
  <c r="AD24" i="29"/>
  <c r="AD22" i="29"/>
  <c r="AD13" i="29"/>
  <c r="AD18" i="29"/>
  <c r="AD14" i="29"/>
  <c r="AE11" i="29" l="1"/>
  <c r="AE23" i="29"/>
  <c r="AE12" i="29"/>
  <c r="AE26" i="29"/>
  <c r="AE22" i="29"/>
  <c r="AE14" i="29"/>
  <c r="AE21" i="29"/>
  <c r="AE25" i="29"/>
  <c r="AE15" i="29"/>
  <c r="AE16" i="29"/>
  <c r="AE13" i="29"/>
  <c r="AE24" i="29"/>
  <c r="AE19" i="29"/>
  <c r="AE18" i="29"/>
  <c r="AE27" i="29"/>
  <c r="AF11" i="29" l="1"/>
  <c r="AF15" i="29"/>
  <c r="AF26" i="29"/>
  <c r="AF25" i="29"/>
  <c r="AF12" i="29"/>
  <c r="AF13" i="29"/>
  <c r="AF14" i="29"/>
  <c r="AF16" i="29"/>
  <c r="AF24" i="29"/>
  <c r="AF18" i="29"/>
  <c r="AF21" i="29"/>
  <c r="AF23" i="29"/>
  <c r="AF19" i="29"/>
  <c r="AF22" i="29"/>
  <c r="AF27" i="29"/>
  <c r="AG11" i="29" l="1"/>
  <c r="AG26" i="29"/>
  <c r="AG14" i="29"/>
  <c r="AG25" i="29"/>
  <c r="AG12" i="29"/>
  <c r="AG23" i="29"/>
  <c r="AG21" i="29"/>
  <c r="AG24" i="29"/>
  <c r="AG15" i="29"/>
  <c r="AG27" i="29"/>
  <c r="AG16" i="29"/>
  <c r="AG13" i="29"/>
  <c r="AG19" i="29"/>
  <c r="AG22" i="29"/>
  <c r="AG18" i="29"/>
  <c r="AH11" i="29" l="1"/>
  <c r="AH18" i="29"/>
  <c r="AH12" i="29"/>
  <c r="AH15" i="29"/>
  <c r="AH27" i="29"/>
  <c r="AH16" i="29"/>
  <c r="AH19" i="29"/>
  <c r="AH21" i="29"/>
  <c r="AH26" i="29"/>
  <c r="AH22" i="29"/>
  <c r="AH14" i="29"/>
  <c r="AH13" i="29"/>
  <c r="AH23" i="29"/>
  <c r="AH24" i="29"/>
  <c r="AH25" i="29"/>
  <c r="AI11" i="29" l="1"/>
  <c r="AI25" i="29"/>
  <c r="AI24" i="29"/>
  <c r="AI18" i="29"/>
  <c r="AI23" i="29"/>
  <c r="AI27" i="29"/>
  <c r="AI13" i="29"/>
  <c r="AI26" i="29"/>
  <c r="AI14" i="29"/>
  <c r="AI15" i="29"/>
  <c r="AI22" i="29"/>
  <c r="AI12" i="29"/>
  <c r="AI16" i="29"/>
  <c r="AI19" i="29"/>
  <c r="AI21" i="29"/>
  <c r="AJ11" i="29" l="1"/>
  <c r="AJ18" i="29"/>
  <c r="AJ26" i="29"/>
  <c r="AJ19" i="29"/>
  <c r="AJ23" i="29"/>
  <c r="AJ15" i="29"/>
  <c r="AJ22" i="29"/>
  <c r="AJ24" i="29"/>
  <c r="AJ12" i="29"/>
  <c r="AJ14" i="29"/>
  <c r="AJ16" i="29"/>
  <c r="AJ25" i="29"/>
  <c r="AJ27" i="29"/>
  <c r="AJ21" i="29"/>
  <c r="AJ13" i="29"/>
  <c r="AK11" i="29" l="1"/>
  <c r="AK19" i="29"/>
  <c r="AK24" i="29"/>
  <c r="AK23" i="29"/>
  <c r="AK22" i="29"/>
  <c r="AK18" i="29"/>
  <c r="AK14" i="29"/>
  <c r="AK27" i="29"/>
  <c r="AK15" i="29"/>
  <c r="AK13" i="29"/>
  <c r="AK16" i="29"/>
  <c r="AK25" i="29"/>
  <c r="AK26" i="29"/>
  <c r="AK21" i="29"/>
  <c r="AK12" i="29"/>
  <c r="AL11" i="29" l="1"/>
  <c r="AL19" i="29"/>
  <c r="AL14" i="29"/>
  <c r="AL22" i="29"/>
  <c r="AL18" i="29"/>
  <c r="AL25" i="29"/>
  <c r="AL27" i="29"/>
  <c r="AL26" i="29"/>
  <c r="AL13" i="29"/>
  <c r="AL12" i="29"/>
  <c r="AL21" i="29"/>
  <c r="AL24" i="29"/>
  <c r="AL23" i="29"/>
  <c r="AL16" i="29"/>
  <c r="AL15" i="29"/>
  <c r="AM11" i="29" l="1"/>
  <c r="AM21" i="29"/>
  <c r="AM18" i="29"/>
  <c r="AM19" i="29"/>
  <c r="AM23" i="29"/>
  <c r="AM14" i="29"/>
  <c r="AM13" i="29"/>
  <c r="AM26" i="29"/>
  <c r="AM24" i="29"/>
  <c r="AM22" i="29"/>
  <c r="AM25" i="29"/>
  <c r="AM12" i="29"/>
  <c r="AM16" i="29"/>
  <c r="AM27" i="29"/>
  <c r="AM15" i="29"/>
  <c r="AN11" i="29" l="1"/>
  <c r="AN25" i="29"/>
  <c r="AN21" i="29"/>
  <c r="AN18" i="29"/>
  <c r="AN24" i="29"/>
  <c r="AN19" i="29"/>
  <c r="AN15" i="29"/>
  <c r="AN27" i="29"/>
  <c r="AN13" i="29"/>
  <c r="AN23" i="29"/>
  <c r="AN16" i="29"/>
  <c r="AN22" i="29"/>
  <c r="AN14" i="29"/>
  <c r="AN26" i="29"/>
  <c r="AN12" i="29"/>
  <c r="AO11" i="29" l="1"/>
  <c r="AO12" i="29"/>
  <c r="AO25" i="29"/>
  <c r="AO23" i="29"/>
  <c r="AO15" i="29"/>
  <c r="AO21" i="29"/>
  <c r="AO18" i="29"/>
  <c r="AO19" i="29"/>
  <c r="AO27" i="29"/>
  <c r="AO22" i="29"/>
  <c r="AO16" i="29"/>
  <c r="AO26" i="29"/>
  <c r="AO13" i="29"/>
  <c r="AO24" i="29"/>
  <c r="AO14" i="29"/>
  <c r="AP11" i="29" l="1"/>
  <c r="AP14" i="29"/>
  <c r="AP27" i="29"/>
  <c r="AP24" i="29"/>
  <c r="AP21" i="29"/>
  <c r="AP13" i="29"/>
  <c r="AP26" i="29"/>
  <c r="AP23" i="29"/>
  <c r="AP16" i="29"/>
  <c r="AP25" i="29"/>
  <c r="AP12" i="29"/>
  <c r="AP22" i="29"/>
  <c r="AP15" i="29"/>
  <c r="AP19" i="29"/>
  <c r="AP18" i="29"/>
  <c r="AQ11" i="29" l="1"/>
  <c r="AQ23" i="29"/>
  <c r="AQ14" i="29"/>
  <c r="AQ26" i="29"/>
  <c r="AQ15" i="29"/>
  <c r="AQ19" i="29"/>
  <c r="AQ12" i="29"/>
  <c r="AQ24" i="29"/>
  <c r="AQ18" i="29"/>
  <c r="AQ16" i="29"/>
  <c r="AQ13" i="29"/>
  <c r="AQ21" i="29"/>
  <c r="AQ22" i="29"/>
  <c r="AQ25" i="29"/>
  <c r="AQ27" i="29"/>
  <c r="AR11" i="29" l="1"/>
  <c r="AR27" i="29"/>
  <c r="AR16" i="29"/>
  <c r="AR13" i="29"/>
  <c r="AR26" i="29"/>
  <c r="AR12" i="29"/>
  <c r="AR25" i="29"/>
  <c r="AR21" i="29"/>
  <c r="AR23" i="29"/>
  <c r="AR19" i="29"/>
  <c r="AR14" i="29"/>
  <c r="AR18" i="29"/>
  <c r="AR15" i="29"/>
  <c r="AR24" i="29"/>
  <c r="AR22" i="29"/>
  <c r="AS11" i="29" l="1"/>
  <c r="AS22" i="29"/>
  <c r="AS13" i="29"/>
  <c r="AS15" i="29"/>
  <c r="AS27" i="29"/>
  <c r="AS16" i="29"/>
  <c r="AS14" i="29"/>
  <c r="AS23" i="29"/>
  <c r="AS26" i="29"/>
  <c r="AS25" i="29"/>
  <c r="AS21" i="29"/>
  <c r="AS19" i="29"/>
  <c r="AS12" i="29"/>
  <c r="AS24" i="29"/>
  <c r="AS18" i="29"/>
  <c r="AT11" i="29" l="1"/>
  <c r="AT25" i="29"/>
  <c r="AT13" i="29"/>
  <c r="AT26" i="29"/>
  <c r="AT12" i="29"/>
  <c r="AT27" i="29"/>
  <c r="AT22" i="29"/>
  <c r="AT16" i="29"/>
  <c r="AT15" i="29"/>
  <c r="AT14" i="29"/>
  <c r="AT23" i="29"/>
  <c r="AT21" i="29"/>
  <c r="AT19" i="29"/>
  <c r="AT24" i="29"/>
  <c r="AT18" i="29"/>
  <c r="AU11" i="29" l="1"/>
  <c r="AU18" i="29"/>
  <c r="AU22" i="29"/>
  <c r="AU14" i="29"/>
  <c r="AU16" i="29"/>
  <c r="AU27" i="29"/>
  <c r="AU13" i="29"/>
  <c r="AU21" i="29"/>
  <c r="AU26" i="29"/>
  <c r="AU12" i="29"/>
  <c r="AU15" i="29"/>
  <c r="AU23" i="29"/>
  <c r="AU25" i="29"/>
  <c r="AU19" i="29"/>
  <c r="AU24" i="29"/>
  <c r="AV11" i="29" l="1"/>
  <c r="AV18" i="29"/>
  <c r="AV14" i="29"/>
  <c r="AV27" i="29"/>
  <c r="AV12" i="29"/>
  <c r="AV24" i="29"/>
  <c r="AV25" i="29"/>
  <c r="AV19" i="29"/>
  <c r="AV16" i="29"/>
  <c r="AV22" i="29"/>
  <c r="AV21" i="29"/>
  <c r="AV15" i="29"/>
  <c r="AV13" i="29"/>
  <c r="AV23" i="29"/>
  <c r="AV26" i="29"/>
  <c r="AW11" i="29" l="1"/>
  <c r="AW16" i="29"/>
  <c r="AW13" i="29"/>
  <c r="AW23" i="29"/>
  <c r="AW19" i="29"/>
  <c r="AW26" i="29"/>
  <c r="AW12" i="29"/>
  <c r="AW24" i="29"/>
  <c r="AW14" i="29"/>
  <c r="AW21" i="29"/>
  <c r="AW27" i="29"/>
  <c r="AW18" i="29"/>
  <c r="AW25" i="29"/>
  <c r="AW22" i="29"/>
  <c r="AW15" i="29"/>
  <c r="AX11" i="29" l="1"/>
  <c r="AX23" i="29"/>
  <c r="AX19" i="29"/>
  <c r="AX18" i="29"/>
  <c r="AX26" i="29"/>
  <c r="AX12" i="29"/>
  <c r="AX16" i="29"/>
  <c r="AX21" i="29"/>
  <c r="AX14" i="29"/>
  <c r="AX27" i="29"/>
  <c r="AX13" i="29"/>
  <c r="AX22" i="29"/>
  <c r="AX25" i="29"/>
  <c r="AX24" i="29"/>
  <c r="AX15" i="29"/>
  <c r="AY11" i="29" l="1"/>
  <c r="AY23" i="29"/>
  <c r="AY18" i="29"/>
  <c r="AY19" i="29"/>
  <c r="AY14" i="29"/>
  <c r="AY21" i="29"/>
  <c r="AY25" i="29"/>
  <c r="AY12" i="29"/>
  <c r="AY16" i="29"/>
  <c r="AY26" i="29"/>
  <c r="AY15" i="29"/>
  <c r="AY27" i="29"/>
  <c r="AY13" i="29"/>
  <c r="AY22" i="29"/>
  <c r="AY24" i="29"/>
  <c r="AZ11" i="29" l="1"/>
  <c r="AZ26" i="29"/>
  <c r="AZ19" i="29"/>
  <c r="AZ25" i="29"/>
  <c r="AZ24" i="29"/>
  <c r="AZ22" i="29"/>
  <c r="AZ23" i="29"/>
  <c r="AZ27" i="29"/>
  <c r="AZ14" i="29"/>
  <c r="AZ21" i="29"/>
  <c r="AZ15" i="29"/>
  <c r="AZ13" i="29"/>
  <c r="AZ12" i="29"/>
  <c r="AZ18" i="29"/>
  <c r="AZ16" i="29"/>
  <c r="BA11" i="29" l="1"/>
  <c r="BA24" i="29"/>
  <c r="BA22" i="29"/>
  <c r="BA18" i="29"/>
  <c r="BA26" i="29"/>
  <c r="BA23" i="29"/>
  <c r="BA16" i="29"/>
  <c r="BA14" i="29"/>
  <c r="BA13" i="29"/>
  <c r="BA12" i="29"/>
  <c r="BA27" i="29"/>
  <c r="BA21" i="29"/>
  <c r="BA19" i="29"/>
  <c r="BA25" i="29"/>
  <c r="BA15" i="29"/>
  <c r="BB11" i="29" l="1"/>
  <c r="BB25" i="29"/>
  <c r="BB24" i="29"/>
  <c r="BB22" i="29"/>
  <c r="BB19" i="29"/>
  <c r="BB15" i="29"/>
  <c r="BB18" i="29"/>
  <c r="BB14" i="29"/>
  <c r="BB23" i="29"/>
  <c r="BB13" i="29"/>
  <c r="BB26" i="29"/>
  <c r="BB12" i="29"/>
  <c r="BB21" i="29"/>
  <c r="BB16" i="29"/>
  <c r="BB27" i="29"/>
  <c r="BC11" i="29" l="1"/>
  <c r="BC13" i="29"/>
  <c r="BC22" i="29"/>
  <c r="BC15" i="29"/>
  <c r="BC18" i="29"/>
  <c r="BC26" i="29"/>
  <c r="BC12" i="29"/>
  <c r="BC25" i="29"/>
  <c r="BC19" i="29"/>
  <c r="BC24" i="29"/>
  <c r="BC21" i="29"/>
  <c r="BC16" i="29"/>
  <c r="BC27" i="29"/>
  <c r="BC23" i="29"/>
  <c r="BC14" i="29"/>
  <c r="BD11" i="29" l="1"/>
  <c r="BD14" i="29"/>
  <c r="BD26" i="29"/>
  <c r="BD21" i="29"/>
  <c r="BD24" i="29"/>
  <c r="BD27" i="29"/>
  <c r="BD13" i="29"/>
  <c r="BD18" i="29"/>
  <c r="BD19" i="29"/>
  <c r="BD15" i="29"/>
  <c r="BD16" i="29"/>
  <c r="BD25" i="29"/>
  <c r="BD12" i="29"/>
  <c r="BD23" i="29"/>
  <c r="BD22" i="29"/>
  <c r="BE11" i="29" l="1"/>
  <c r="BE14" i="29"/>
  <c r="BE26" i="29"/>
  <c r="BE16" i="29"/>
  <c r="BE12" i="29"/>
  <c r="BE23" i="29"/>
  <c r="BE24" i="29"/>
  <c r="BE15" i="29"/>
  <c r="BE27" i="29"/>
  <c r="BE21" i="29"/>
  <c r="BE13" i="29"/>
  <c r="BE18" i="29"/>
  <c r="BE25" i="29"/>
  <c r="BE19" i="29"/>
  <c r="BE22" i="29"/>
  <c r="BF11" i="29" l="1"/>
  <c r="BF24" i="29"/>
  <c r="BF15" i="29"/>
  <c r="BF14" i="29"/>
  <c r="BF26" i="29"/>
  <c r="BF16" i="29"/>
  <c r="BF25" i="29"/>
  <c r="BF13" i="29"/>
  <c r="BF21" i="29"/>
  <c r="BF23" i="29"/>
  <c r="BF18" i="29"/>
  <c r="BF27" i="29"/>
  <c r="BF22" i="29"/>
  <c r="BF19" i="29"/>
  <c r="BF12" i="29"/>
  <c r="BG11" i="29" l="1"/>
  <c r="BG24" i="29"/>
  <c r="BG16" i="29"/>
  <c r="BG15" i="29"/>
  <c r="BG14" i="29"/>
  <c r="BG27" i="29"/>
  <c r="BG13" i="29"/>
  <c r="BG12" i="29"/>
  <c r="BG21" i="29"/>
  <c r="BG26" i="29"/>
  <c r="BG19" i="29"/>
  <c r="BG22" i="29"/>
  <c r="BG23" i="29"/>
  <c r="BG18" i="29"/>
  <c r="BG25" i="29"/>
  <c r="BH11" i="29" l="1"/>
  <c r="BH16" i="29"/>
  <c r="BH27" i="29"/>
  <c r="BH14" i="29"/>
  <c r="BH25" i="29"/>
  <c r="BH21" i="29"/>
  <c r="BH13" i="29"/>
  <c r="BH23" i="29"/>
  <c r="BH12" i="29"/>
  <c r="BH15" i="29"/>
  <c r="BH26" i="29"/>
  <c r="BH24" i="29"/>
  <c r="BH19" i="29"/>
  <c r="BH22" i="29"/>
  <c r="BH18" i="29"/>
  <c r="BI11" i="29" l="1"/>
  <c r="BI14" i="29"/>
  <c r="BI12" i="29"/>
  <c r="BI24" i="29"/>
  <c r="BI22" i="29"/>
  <c r="BI19" i="29"/>
  <c r="BI25" i="29"/>
  <c r="BI13" i="29"/>
  <c r="BI18" i="29"/>
  <c r="BI15" i="29"/>
  <c r="BI21" i="29"/>
  <c r="BI26" i="29"/>
  <c r="BI16" i="29"/>
  <c r="BI23" i="29"/>
  <c r="BI27" i="29"/>
  <c r="BJ11" i="29" l="1"/>
  <c r="BJ15" i="29"/>
  <c r="BJ27" i="29"/>
  <c r="BJ25" i="29"/>
  <c r="BJ16" i="29"/>
  <c r="BJ18" i="29"/>
  <c r="BJ21" i="29"/>
  <c r="BJ22" i="29"/>
  <c r="BJ24" i="29"/>
  <c r="BJ12" i="29"/>
  <c r="BJ19" i="29"/>
  <c r="BJ23" i="29"/>
  <c r="BJ14" i="29"/>
  <c r="BJ13" i="29"/>
  <c r="BJ26" i="29"/>
  <c r="D10" i="28"/>
  <c r="D11" i="28"/>
  <c r="D12" i="28"/>
  <c r="D13" i="28"/>
  <c r="D23" i="28" s="1"/>
  <c r="D14" i="28"/>
  <c r="D15" i="28" s="1"/>
  <c r="D16" i="28" s="1"/>
  <c r="D17" i="28" s="1"/>
  <c r="D18" i="28" s="1"/>
  <c r="D19" i="28"/>
  <c r="D20" i="28" s="1"/>
  <c r="D21" i="28" s="1"/>
  <c r="BL15" i="29" l="1"/>
  <c r="BL12" i="29"/>
  <c r="BL19" i="29"/>
  <c r="BL11" i="29"/>
  <c r="BL14" i="29"/>
  <c r="BL22" i="29"/>
  <c r="BL21" i="29"/>
  <c r="BL16" i="29"/>
  <c r="BL18" i="29"/>
  <c r="BL26" i="29"/>
  <c r="BL24" i="29"/>
  <c r="BL23" i="29"/>
  <c r="BL25" i="29"/>
  <c r="BL27" i="29"/>
  <c r="BL13" i="29"/>
  <c r="BK11" i="29"/>
  <c r="BK21" i="29"/>
  <c r="BK27" i="29"/>
  <c r="BK19" i="29"/>
  <c r="BK18" i="29"/>
  <c r="BK23" i="29"/>
  <c r="BK15" i="29"/>
  <c r="BK25" i="29"/>
  <c r="BK14" i="29"/>
  <c r="BK24" i="29"/>
  <c r="BK12" i="29"/>
  <c r="BK22" i="29"/>
  <c r="BK26" i="29"/>
  <c r="BK13" i="29"/>
  <c r="BK16" i="29"/>
  <c r="D22" i="28"/>
  <c r="D24" i="28" s="1"/>
  <c r="D25" i="28" s="1"/>
  <c r="D26" i="28" s="1"/>
  <c r="BM11" i="29" l="1"/>
  <c r="BM13" i="29"/>
  <c r="BM15" i="29"/>
  <c r="BM14" i="29"/>
  <c r="BM19" i="29"/>
  <c r="BM12" i="29"/>
  <c r="BM22" i="29"/>
  <c r="BM16" i="29"/>
  <c r="BM21" i="29"/>
  <c r="BM26" i="29"/>
  <c r="BM24" i="29"/>
  <c r="BM25" i="29"/>
  <c r="BM23" i="29"/>
  <c r="BM27" i="29"/>
  <c r="BM18" i="29"/>
  <c r="I6" i="13"/>
  <c r="H6" i="13"/>
  <c r="G6" i="13"/>
  <c r="I5" i="13"/>
  <c r="H5" i="13"/>
  <c r="G5" i="13"/>
  <c r="I4" i="13"/>
  <c r="H4" i="13"/>
  <c r="G4" i="13"/>
  <c r="I3" i="13"/>
  <c r="H3" i="13"/>
  <c r="G3" i="13"/>
  <c r="I2" i="13"/>
  <c r="H2" i="13"/>
  <c r="G2" i="13"/>
  <c r="BN11" i="29" l="1"/>
  <c r="BN13" i="29"/>
  <c r="BN15" i="29"/>
  <c r="BN16" i="29"/>
  <c r="BN12" i="29"/>
  <c r="BN14" i="29"/>
  <c r="BN23" i="29"/>
  <c r="BN19" i="29"/>
  <c r="BN25" i="29"/>
  <c r="BN21" i="29"/>
  <c r="BN18" i="29"/>
  <c r="BN24" i="29"/>
  <c r="BN26" i="29"/>
  <c r="BN27" i="29"/>
  <c r="BN22" i="29"/>
  <c r="J2" i="13"/>
  <c r="J6" i="13"/>
  <c r="J3" i="13"/>
  <c r="J4" i="13"/>
  <c r="J5" i="13"/>
  <c r="H7" i="13"/>
  <c r="I7" i="13"/>
  <c r="G7" i="13"/>
  <c r="BO11" i="29" l="1"/>
  <c r="BO16" i="29"/>
  <c r="BO14" i="29"/>
  <c r="BO23" i="29"/>
  <c r="BO19" i="29"/>
  <c r="BO25" i="29"/>
  <c r="BO27" i="29"/>
  <c r="BO12" i="29"/>
  <c r="BO21" i="29"/>
  <c r="BO15" i="29"/>
  <c r="BO22" i="29"/>
  <c r="BO24" i="29"/>
  <c r="BO18" i="29"/>
  <c r="BO13" i="29"/>
  <c r="BO26" i="29"/>
  <c r="J7" i="13"/>
  <c r="I8" i="13" s="1"/>
  <c r="C8" i="13"/>
  <c r="C14" i="5"/>
  <c r="A14" i="5"/>
  <c r="C13" i="5"/>
  <c r="A13" i="5"/>
  <c r="C12" i="5"/>
  <c r="C15" i="5" s="1"/>
  <c r="B12" i="5" s="1"/>
  <c r="B15" i="5" s="1"/>
  <c r="A12" i="5"/>
  <c r="BP14" i="29" l="1"/>
  <c r="BP11" i="29"/>
  <c r="BP16" i="29"/>
  <c r="BP15" i="29"/>
  <c r="BP18" i="29"/>
  <c r="BP13" i="29"/>
  <c r="BP23" i="29"/>
  <c r="BP19" i="29"/>
  <c r="BP27" i="29"/>
  <c r="BP12" i="29"/>
  <c r="BP25" i="29"/>
  <c r="BP21" i="29"/>
  <c r="BP26" i="29"/>
  <c r="BP24" i="29"/>
  <c r="BP22" i="29"/>
  <c r="K3" i="13"/>
  <c r="K4" i="13"/>
  <c r="K5" i="13"/>
  <c r="K2" i="13"/>
  <c r="G8" i="13"/>
  <c r="H8" i="13"/>
  <c r="K6" i="13"/>
  <c r="B13" i="5"/>
  <c r="B14" i="5"/>
  <c r="BQ13" i="29" l="1"/>
  <c r="BQ14" i="29"/>
  <c r="BQ11" i="29"/>
  <c r="BQ16" i="29"/>
  <c r="BQ18" i="29"/>
  <c r="BQ24" i="29"/>
  <c r="BQ23" i="29"/>
  <c r="BQ19" i="29"/>
  <c r="BQ27" i="29"/>
  <c r="BQ12" i="29"/>
  <c r="BQ25" i="29"/>
  <c r="BQ21" i="29"/>
  <c r="BQ15" i="29"/>
  <c r="BQ26" i="29"/>
  <c r="BQ22" i="29"/>
  <c r="BR13" i="29" l="1"/>
  <c r="BR14" i="29"/>
  <c r="BR11" i="29"/>
  <c r="BR18" i="29"/>
  <c r="BR15" i="29"/>
  <c r="BR24" i="29"/>
  <c r="BR23" i="29"/>
  <c r="BR19" i="29"/>
  <c r="BR16" i="29"/>
  <c r="BR27" i="29"/>
  <c r="BR12" i="29"/>
  <c r="BR25" i="29"/>
  <c r="BR21" i="29"/>
  <c r="BR26" i="29"/>
  <c r="BR22" i="29"/>
  <c r="BS12" i="29" l="1"/>
  <c r="BS13" i="29"/>
  <c r="BS14" i="29"/>
  <c r="BS16" i="29"/>
  <c r="BS18" i="29"/>
  <c r="BS21" i="29"/>
  <c r="BS15" i="29"/>
  <c r="BS24" i="29"/>
  <c r="BS23" i="29"/>
  <c r="BS11" i="29"/>
  <c r="BS19" i="29"/>
  <c r="BS27" i="29"/>
  <c r="BS25" i="29"/>
  <c r="BS22" i="29"/>
  <c r="BS26" i="29"/>
  <c r="BT12" i="29" l="1"/>
  <c r="BT14" i="29"/>
  <c r="BT13" i="29"/>
  <c r="BT11" i="29"/>
  <c r="BT15" i="29"/>
  <c r="BT18" i="29"/>
  <c r="BT21" i="29"/>
  <c r="BT22" i="29"/>
  <c r="BT24" i="29"/>
  <c r="BT19" i="29"/>
  <c r="BT16" i="29"/>
  <c r="BT27" i="29"/>
  <c r="BT25" i="29"/>
  <c r="BT26" i="29"/>
  <c r="BT23" i="29"/>
  <c r="BU15" i="29" l="1"/>
  <c r="BU14" i="29"/>
  <c r="BU18" i="29"/>
  <c r="BU21" i="29"/>
  <c r="BU22" i="29"/>
  <c r="BU13" i="29"/>
  <c r="BU24" i="29"/>
  <c r="BU26" i="29"/>
  <c r="BU19" i="29"/>
  <c r="BU16" i="29"/>
  <c r="BU12" i="29"/>
  <c r="BU27" i="29"/>
  <c r="BU25" i="29"/>
  <c r="BU11" i="29"/>
  <c r="BU23" i="29"/>
  <c r="BV13" i="29" l="1"/>
  <c r="BV14" i="29"/>
  <c r="BV15" i="29"/>
  <c r="BV21" i="29"/>
  <c r="BV22" i="29"/>
  <c r="BV26" i="29"/>
  <c r="BV12" i="29"/>
  <c r="BV19" i="29"/>
  <c r="BV16" i="29"/>
  <c r="BV11" i="29"/>
  <c r="BV25" i="29"/>
  <c r="BV23" i="29"/>
  <c r="BV24" i="29"/>
  <c r="BV18" i="29"/>
  <c r="BV27" i="29"/>
  <c r="BW12" i="29" l="1"/>
  <c r="BW15" i="29"/>
  <c r="BW16" i="29"/>
  <c r="BW14" i="29"/>
  <c r="BW13" i="29"/>
  <c r="BW21" i="29"/>
  <c r="BW22" i="29"/>
  <c r="BW23" i="29"/>
  <c r="BW26" i="29"/>
  <c r="BW19" i="29"/>
  <c r="BW27" i="29"/>
  <c r="BW25" i="29"/>
  <c r="BW11" i="29"/>
  <c r="BW24" i="29"/>
  <c r="BW18" i="29"/>
  <c r="BX12" i="29" l="1"/>
  <c r="BX15" i="29"/>
  <c r="BX13" i="29"/>
  <c r="BX16" i="29"/>
  <c r="BX11" i="29"/>
  <c r="BX21" i="29"/>
  <c r="BX22" i="29"/>
  <c r="BX14" i="29"/>
  <c r="BX23" i="29"/>
  <c r="BX26" i="29"/>
  <c r="BX19" i="29"/>
  <c r="BX24" i="29"/>
  <c r="BX27" i="29"/>
  <c r="BX25" i="29"/>
  <c r="BX18" i="29"/>
  <c r="BY11" i="29" l="1"/>
  <c r="BY13" i="29"/>
  <c r="BY12" i="29"/>
  <c r="BY15" i="29"/>
  <c r="BY16" i="29"/>
  <c r="BY19" i="29"/>
  <c r="BY18" i="29"/>
  <c r="BY21" i="29"/>
  <c r="BY22" i="29"/>
  <c r="BY24" i="29"/>
  <c r="BY23" i="29"/>
  <c r="BY26" i="29"/>
  <c r="BY27" i="29"/>
  <c r="BY14" i="29"/>
  <c r="BY25" i="29"/>
  <c r="BZ11" i="29" l="1"/>
  <c r="BZ13" i="29"/>
  <c r="BZ15" i="29"/>
  <c r="BZ16" i="29"/>
  <c r="BZ12" i="29"/>
  <c r="BZ19" i="29"/>
  <c r="BZ23" i="29"/>
  <c r="BZ18" i="29"/>
  <c r="BZ22" i="29"/>
  <c r="BZ21" i="29"/>
  <c r="BZ24" i="29"/>
  <c r="BZ26" i="29"/>
  <c r="BZ14" i="29"/>
  <c r="BZ27" i="29"/>
  <c r="BZ25" i="29"/>
  <c r="CA16" i="29" l="1"/>
  <c r="CA15" i="29"/>
  <c r="CA11" i="29"/>
  <c r="CA12" i="29"/>
  <c r="CA13" i="29"/>
  <c r="CA18" i="29"/>
  <c r="CA25" i="29"/>
  <c r="CA27" i="29"/>
  <c r="CA22" i="29"/>
  <c r="CA24" i="29"/>
  <c r="CA23" i="29"/>
  <c r="CA19" i="29"/>
  <c r="CA14" i="29"/>
  <c r="CA26" i="29"/>
  <c r="CA21" i="29"/>
  <c r="CB16" i="29" l="1"/>
  <c r="CB12" i="29"/>
  <c r="CB18" i="29"/>
  <c r="CB11" i="29"/>
  <c r="CB13" i="29"/>
  <c r="CB15" i="29"/>
  <c r="CB19" i="29"/>
  <c r="CB23" i="29"/>
  <c r="CB25" i="29"/>
  <c r="CB22" i="29"/>
  <c r="CB24" i="29"/>
  <c r="CB21" i="29"/>
  <c r="CB14" i="29"/>
  <c r="CB26" i="29"/>
  <c r="CB27" i="29"/>
  <c r="CC11" i="29" l="1"/>
  <c r="CC14" i="29"/>
  <c r="CC16" i="29"/>
  <c r="CC15" i="29"/>
  <c r="CC12" i="29"/>
  <c r="CC18" i="29"/>
  <c r="CC13" i="29"/>
  <c r="CC24" i="29"/>
  <c r="CC19" i="29"/>
  <c r="CC23" i="29"/>
  <c r="CC27" i="29"/>
  <c r="CC25" i="29"/>
  <c r="CC22" i="29"/>
  <c r="CC26" i="29"/>
  <c r="CC21" i="29"/>
  <c r="CD11" i="29" l="1"/>
  <c r="CD14" i="29"/>
  <c r="CD12" i="29"/>
  <c r="CD18" i="29"/>
  <c r="CD16" i="29"/>
  <c r="CD13" i="29"/>
  <c r="CD15" i="29"/>
  <c r="CD24" i="29"/>
  <c r="CD19" i="29"/>
  <c r="CD23" i="29"/>
  <c r="CD27" i="29"/>
  <c r="CD25" i="29"/>
  <c r="CD22" i="29"/>
  <c r="CD21" i="29"/>
  <c r="CD26" i="29"/>
  <c r="CE12" i="29" l="1"/>
  <c r="CE13" i="29"/>
  <c r="CE11" i="29"/>
  <c r="CE14" i="29"/>
  <c r="CE16" i="29"/>
  <c r="CE18" i="29"/>
  <c r="CE21" i="29"/>
  <c r="CE15" i="29"/>
  <c r="CE24" i="29"/>
  <c r="CE19" i="29"/>
  <c r="CE23" i="29"/>
  <c r="CE27" i="29"/>
  <c r="CE25" i="29"/>
  <c r="CE22" i="29"/>
  <c r="CE26" i="29"/>
  <c r="CF12" i="29" l="1"/>
  <c r="CF14" i="29"/>
  <c r="CF13" i="29"/>
  <c r="CF11" i="29"/>
  <c r="CF16" i="29"/>
  <c r="CF18" i="29"/>
  <c r="CF22" i="29"/>
  <c r="CF15" i="29"/>
  <c r="CF24" i="29"/>
  <c r="CF19" i="29"/>
  <c r="CF23" i="29"/>
  <c r="CF27" i="29"/>
  <c r="CF25" i="29"/>
  <c r="CF26" i="29"/>
  <c r="CF21" i="29"/>
  <c r="CG13" i="29" l="1"/>
  <c r="CG14" i="29"/>
  <c r="CG11" i="29"/>
  <c r="CG12" i="29"/>
  <c r="CG21" i="29"/>
  <c r="CG18" i="29"/>
  <c r="CG15" i="29"/>
  <c r="CG24" i="29"/>
  <c r="CG26" i="29"/>
  <c r="CG19" i="29"/>
  <c r="CG23" i="29"/>
  <c r="CG27" i="29"/>
  <c r="CG16" i="29"/>
  <c r="CG22" i="29"/>
  <c r="CG25" i="29"/>
  <c r="CH13" i="29" l="1"/>
  <c r="CH11" i="29"/>
  <c r="CH12" i="29"/>
  <c r="CH14" i="29"/>
  <c r="CH16" i="29"/>
  <c r="CH22" i="29"/>
  <c r="CH18" i="29"/>
  <c r="CH15" i="29"/>
  <c r="CH24" i="29"/>
  <c r="CH23" i="29"/>
  <c r="CH27" i="29"/>
  <c r="CH21" i="29"/>
  <c r="CH19" i="29"/>
  <c r="CH26" i="29"/>
  <c r="CH25" i="29"/>
  <c r="CI14" i="29" l="1"/>
  <c r="CI11" i="29"/>
  <c r="CI15" i="29"/>
  <c r="CI12" i="29"/>
  <c r="CI21" i="29"/>
  <c r="CI16" i="29"/>
  <c r="CI22" i="29"/>
  <c r="CI13" i="29"/>
  <c r="CI18" i="29"/>
  <c r="CI26" i="29"/>
  <c r="CI24" i="29"/>
  <c r="CI19" i="29"/>
  <c r="CI25" i="29"/>
  <c r="CI27" i="29"/>
  <c r="CI23" i="29"/>
  <c r="CJ15" i="29" l="1"/>
  <c r="CJ13" i="29"/>
  <c r="CJ11" i="29"/>
  <c r="CJ16" i="29"/>
  <c r="CJ12" i="29"/>
  <c r="CJ21" i="29"/>
  <c r="CJ22" i="29"/>
  <c r="CJ18" i="29"/>
  <c r="CJ26" i="29"/>
  <c r="CJ23" i="29"/>
  <c r="CJ27" i="29"/>
  <c r="CJ14" i="29"/>
  <c r="CJ19" i="29"/>
  <c r="CJ24" i="29"/>
  <c r="CJ25" i="29"/>
  <c r="CK11" i="29" l="1"/>
  <c r="CK13" i="29"/>
  <c r="CK12" i="29"/>
  <c r="CK15" i="29"/>
  <c r="CK14" i="29"/>
  <c r="CK19" i="29"/>
  <c r="CK16" i="29"/>
  <c r="CK21" i="29"/>
  <c r="CK22" i="29"/>
  <c r="CK18" i="29"/>
  <c r="CK26" i="29"/>
  <c r="CK24" i="29"/>
  <c r="CK25" i="29"/>
  <c r="CK27" i="29"/>
  <c r="CK23" i="29"/>
  <c r="CL11" i="29" l="1"/>
  <c r="CL13" i="29"/>
  <c r="CL15" i="29"/>
  <c r="CL16" i="29"/>
  <c r="CL12" i="29"/>
  <c r="CL14" i="29"/>
  <c r="CL18" i="29"/>
  <c r="CL23" i="29"/>
  <c r="CL21" i="29"/>
  <c r="CL22" i="29"/>
  <c r="CL26" i="29"/>
  <c r="CL27" i="29"/>
  <c r="CL25" i="29"/>
  <c r="CL19" i="29"/>
  <c r="CL24" i="29"/>
  <c r="CM12" i="29" l="1"/>
  <c r="CM15" i="29"/>
  <c r="CM14" i="29"/>
  <c r="CM19" i="29"/>
  <c r="CM13" i="29"/>
  <c r="CM16" i="29"/>
  <c r="CM21" i="29"/>
  <c r="CM25" i="29"/>
  <c r="CM27" i="29"/>
  <c r="CM22" i="29"/>
  <c r="CM18" i="29"/>
  <c r="CM26" i="29"/>
  <c r="CM11" i="29"/>
  <c r="CM24" i="29"/>
  <c r="CM23" i="29"/>
  <c r="CN16" i="29" l="1"/>
  <c r="CN12" i="29"/>
  <c r="CN15" i="29"/>
  <c r="CN18" i="29"/>
  <c r="CN14" i="29"/>
  <c r="CN13" i="29"/>
  <c r="CN21" i="29"/>
  <c r="CN11" i="29"/>
  <c r="CN22" i="29"/>
  <c r="CN26" i="29"/>
  <c r="CN23" i="29"/>
  <c r="CN25" i="29"/>
  <c r="CN19" i="29"/>
  <c r="CN27" i="29"/>
  <c r="CN24" i="29"/>
  <c r="CO16" i="29" l="1"/>
  <c r="CO18" i="29"/>
  <c r="CO14" i="29"/>
  <c r="CO23" i="29"/>
  <c r="CO24" i="29"/>
  <c r="CO12" i="29"/>
  <c r="CO13" i="29"/>
  <c r="CO21" i="29"/>
  <c r="CO25" i="29"/>
  <c r="CO22" i="29"/>
  <c r="CO19" i="29"/>
  <c r="CO11" i="29"/>
  <c r="CO15" i="29"/>
  <c r="CO27" i="29"/>
  <c r="CO26" i="29"/>
  <c r="CP14" i="29" l="1"/>
  <c r="CP12" i="29"/>
  <c r="CP15" i="29"/>
  <c r="CP18" i="29"/>
  <c r="CP11" i="29"/>
  <c r="CP19" i="29"/>
  <c r="CP23" i="29"/>
  <c r="CP24" i="29"/>
  <c r="CP16" i="29"/>
  <c r="CP13" i="29"/>
  <c r="CP27" i="29"/>
  <c r="CP21" i="29"/>
  <c r="CP25" i="29"/>
  <c r="CP26" i="29"/>
  <c r="CP22" i="29"/>
  <c r="CQ12" i="29" l="1"/>
  <c r="CQ11" i="29"/>
  <c r="CQ14" i="29"/>
  <c r="CQ16" i="29"/>
  <c r="CQ18" i="29"/>
  <c r="CQ21" i="29"/>
  <c r="CQ19" i="29"/>
  <c r="CQ23" i="29"/>
  <c r="CQ24" i="29"/>
  <c r="CQ27" i="29"/>
  <c r="CQ13" i="29"/>
  <c r="CQ25" i="29"/>
  <c r="CQ15" i="29"/>
  <c r="CQ26" i="29"/>
  <c r="CQ22" i="29"/>
  <c r="CR12" i="29" l="1"/>
  <c r="CR14" i="29"/>
  <c r="CR11" i="29"/>
  <c r="CR15" i="29"/>
  <c r="CR16" i="29"/>
  <c r="CR18" i="29"/>
  <c r="CR22" i="29"/>
  <c r="CR19" i="29"/>
  <c r="CR23" i="29"/>
  <c r="CR24" i="29"/>
  <c r="CR13" i="29"/>
  <c r="CR21" i="29"/>
  <c r="CR27" i="29"/>
  <c r="CR25" i="29"/>
  <c r="CR26" i="29"/>
  <c r="CS13" i="29" l="1"/>
  <c r="CS11" i="29"/>
  <c r="CS14" i="29"/>
  <c r="CS15" i="29"/>
  <c r="CS16" i="29"/>
  <c r="CS12" i="29"/>
  <c r="CS19" i="29"/>
  <c r="CS23" i="29"/>
  <c r="CS24" i="29"/>
  <c r="CS26" i="29"/>
  <c r="CS27" i="29"/>
  <c r="CS18" i="29"/>
  <c r="CS21" i="29"/>
  <c r="CS25" i="29"/>
  <c r="CS22" i="29"/>
  <c r="CT13" i="29" l="1"/>
  <c r="CT11" i="29"/>
  <c r="CT14" i="29"/>
  <c r="CT15" i="29"/>
  <c r="CT16" i="29"/>
  <c r="CT21" i="29"/>
  <c r="CT12" i="29"/>
  <c r="CT19" i="29"/>
  <c r="CT18" i="29"/>
  <c r="CT27" i="29"/>
  <c r="CT25" i="29"/>
  <c r="CT26" i="29"/>
  <c r="CT23" i="29"/>
  <c r="CT24" i="29"/>
  <c r="CT22" i="29"/>
  <c r="CU13" i="29" l="1"/>
  <c r="CU15" i="29"/>
  <c r="CU16" i="29"/>
  <c r="CU12" i="29"/>
  <c r="CU22" i="29"/>
  <c r="CU11" i="29"/>
  <c r="CU19" i="29"/>
  <c r="CU23" i="29"/>
  <c r="CU24" i="29"/>
  <c r="CU21" i="29"/>
  <c r="CU18" i="29"/>
  <c r="CU25" i="29"/>
  <c r="CU27" i="29"/>
  <c r="CU26" i="29"/>
  <c r="CU14" i="29"/>
  <c r="CV13" i="29" l="1"/>
  <c r="CV11" i="29"/>
  <c r="CV14" i="29"/>
  <c r="CV15" i="29"/>
  <c r="CV16" i="29"/>
  <c r="CV18" i="29"/>
  <c r="CV22" i="29"/>
  <c r="CV12" i="29"/>
  <c r="CV19" i="29"/>
  <c r="CV26" i="29"/>
  <c r="CV23" i="29"/>
  <c r="CV24" i="29"/>
  <c r="CV21" i="29"/>
  <c r="CV25" i="29"/>
  <c r="CV27" i="29"/>
  <c r="CW11" i="29" l="1"/>
  <c r="CW13" i="29"/>
  <c r="CW15" i="29"/>
  <c r="CW12" i="29"/>
  <c r="CW19" i="29"/>
  <c r="CW14" i="29"/>
  <c r="CW21" i="29"/>
  <c r="CW18" i="29"/>
  <c r="CW22" i="29"/>
  <c r="CW16" i="29"/>
  <c r="CW26" i="29"/>
  <c r="CW23" i="29"/>
  <c r="CW24" i="29"/>
  <c r="CW27" i="29"/>
  <c r="CW25" i="29"/>
  <c r="CX11" i="29" l="1"/>
  <c r="CX13" i="29"/>
  <c r="CX15" i="29"/>
  <c r="CX16" i="29"/>
  <c r="CX12" i="29"/>
  <c r="CX23" i="29"/>
  <c r="CX14" i="29"/>
  <c r="CX21" i="29"/>
  <c r="CX18" i="29"/>
  <c r="CX22" i="29"/>
  <c r="CX19" i="29"/>
  <c r="CX26" i="29"/>
  <c r="CX24" i="29"/>
  <c r="CX25" i="29"/>
  <c r="CX27" i="29"/>
  <c r="CY12" i="29" l="1"/>
  <c r="CY15" i="29"/>
  <c r="CY13" i="29"/>
  <c r="CY11" i="29"/>
  <c r="CY14" i="29"/>
  <c r="CY21" i="29"/>
  <c r="CY18" i="29"/>
  <c r="CY22" i="29"/>
  <c r="CY25" i="29"/>
  <c r="CY27" i="29"/>
  <c r="CY19" i="29"/>
  <c r="CY23" i="29"/>
  <c r="CY26" i="29"/>
  <c r="CY24" i="29"/>
  <c r="CY16" i="29"/>
  <c r="CZ12" i="29" l="1"/>
  <c r="CZ15" i="29"/>
  <c r="CZ16" i="29"/>
  <c r="CZ13" i="29"/>
  <c r="CZ18" i="29"/>
  <c r="CZ19" i="29"/>
  <c r="CZ11" i="29"/>
  <c r="CZ14" i="29"/>
  <c r="CZ21" i="29"/>
  <c r="CZ22" i="29"/>
  <c r="CZ23" i="29"/>
  <c r="CZ26" i="29"/>
  <c r="CZ24" i="29"/>
  <c r="CZ27" i="29"/>
  <c r="CZ25" i="29"/>
  <c r="DA12" i="29" l="1"/>
  <c r="DA15" i="29"/>
  <c r="DA16" i="29"/>
  <c r="DA11" i="29"/>
  <c r="DA13" i="29"/>
  <c r="DA18" i="29"/>
  <c r="DA24" i="29"/>
  <c r="DA14" i="29"/>
  <c r="DA21" i="29"/>
  <c r="DA22" i="29"/>
  <c r="DA19" i="29"/>
  <c r="DA23" i="29"/>
  <c r="DA26" i="29"/>
  <c r="DA27" i="29"/>
  <c r="DA25" i="29"/>
  <c r="DB12" i="29" l="1"/>
  <c r="DB11" i="29"/>
  <c r="DB13" i="29"/>
  <c r="DB18" i="29"/>
  <c r="DB23" i="29"/>
  <c r="DB24" i="29"/>
  <c r="DB21" i="29"/>
  <c r="DB14" i="29"/>
  <c r="DB25" i="29"/>
  <c r="DB22" i="29"/>
  <c r="DB19" i="29"/>
  <c r="DB16" i="29"/>
  <c r="DB15" i="29"/>
  <c r="DB26" i="29"/>
  <c r="DB27" i="29"/>
  <c r="DC12" i="29" l="1"/>
  <c r="DC14" i="29"/>
  <c r="DC15" i="29"/>
  <c r="DC16" i="29"/>
  <c r="DC11" i="29"/>
  <c r="DC13" i="29"/>
  <c r="DC18" i="29"/>
  <c r="DC21" i="29"/>
  <c r="DC23" i="29"/>
  <c r="DC24" i="29"/>
  <c r="DC27" i="29"/>
  <c r="DC25" i="29"/>
  <c r="DC22" i="29"/>
  <c r="DC19" i="29"/>
  <c r="DC26" i="29"/>
  <c r="DD12" i="29" l="1"/>
  <c r="DD14" i="29"/>
  <c r="DD11" i="29"/>
  <c r="DD13" i="29"/>
  <c r="DD18" i="29"/>
  <c r="DD22" i="29"/>
  <c r="DD19" i="29"/>
  <c r="DD23" i="29"/>
  <c r="DD24" i="29"/>
  <c r="DD27" i="29"/>
  <c r="DD25" i="29"/>
  <c r="DD21" i="29"/>
  <c r="DD15" i="29"/>
  <c r="DD26" i="29"/>
  <c r="DD16" i="29"/>
  <c r="DE11" i="29" l="1"/>
  <c r="DE14" i="29"/>
  <c r="DE12" i="29"/>
  <c r="DE19" i="29"/>
  <c r="DE23" i="29"/>
  <c r="DE18" i="29"/>
  <c r="DE24" i="29"/>
  <c r="DE26" i="29"/>
  <c r="DE27" i="29"/>
  <c r="DE13" i="29"/>
  <c r="DE22" i="29"/>
  <c r="DE25" i="29"/>
  <c r="DE21" i="29"/>
  <c r="DE15" i="29"/>
  <c r="DE16" i="29"/>
  <c r="DF11" i="29" l="1"/>
  <c r="DF14" i="29"/>
  <c r="DF12" i="29"/>
  <c r="DF19" i="29"/>
  <c r="DF23" i="29"/>
  <c r="DF18" i="29"/>
  <c r="DF27" i="29"/>
  <c r="DF13" i="29"/>
  <c r="DF22" i="29"/>
  <c r="DF25" i="29"/>
  <c r="DF15" i="29"/>
  <c r="DF21" i="29"/>
  <c r="DF24" i="29"/>
  <c r="DF26" i="29"/>
  <c r="DF16" i="29"/>
  <c r="DG13" i="29" l="1"/>
  <c r="DG11" i="29"/>
  <c r="DG14" i="29"/>
  <c r="DG12" i="29"/>
  <c r="DG21" i="29"/>
  <c r="DG15" i="29"/>
  <c r="DG19" i="29"/>
  <c r="DG27" i="29"/>
  <c r="DG22" i="29"/>
  <c r="DG24" i="29"/>
  <c r="DG23" i="29"/>
  <c r="DG25" i="29"/>
  <c r="DG18" i="29"/>
  <c r="DG26" i="29"/>
  <c r="DG16" i="29"/>
  <c r="DH13" i="29" l="1"/>
  <c r="DH11" i="29"/>
  <c r="DH14" i="29"/>
  <c r="DH16" i="29"/>
  <c r="DH12" i="29"/>
  <c r="DH18" i="29"/>
  <c r="DH22" i="29"/>
  <c r="DH15" i="29"/>
  <c r="DH19" i="29"/>
  <c r="DH23" i="29"/>
  <c r="DH27" i="29"/>
  <c r="DH21" i="29"/>
  <c r="DH24" i="29"/>
  <c r="DH26" i="29"/>
  <c r="DH25" i="29"/>
  <c r="DI11" i="29" l="1"/>
  <c r="DI13" i="29"/>
  <c r="DI14" i="29"/>
  <c r="DI16" i="29"/>
  <c r="DI19" i="29"/>
  <c r="DI22" i="29"/>
  <c r="DI15" i="29"/>
  <c r="DI26" i="29"/>
  <c r="DI18" i="29"/>
  <c r="DI25" i="29"/>
  <c r="DI23" i="29"/>
  <c r="DI27" i="29"/>
  <c r="DI21" i="29"/>
  <c r="DI24" i="29"/>
  <c r="DI12" i="29"/>
  <c r="DJ11" i="29" l="1"/>
  <c r="DJ13" i="29"/>
  <c r="DJ15" i="29"/>
  <c r="DJ16" i="29"/>
  <c r="DJ14" i="29"/>
  <c r="DJ23" i="29"/>
  <c r="DJ22" i="29"/>
  <c r="DJ19" i="29"/>
  <c r="DJ26" i="29"/>
  <c r="DJ12" i="29"/>
  <c r="DJ27" i="29"/>
  <c r="DJ21" i="29"/>
  <c r="DJ24" i="29"/>
  <c r="DJ25" i="29"/>
  <c r="DJ18" i="29"/>
  <c r="DK15" i="29" l="1"/>
  <c r="DK13" i="29"/>
  <c r="DK14" i="29"/>
  <c r="DK16" i="29"/>
  <c r="DK11" i="29"/>
  <c r="DK21" i="29"/>
  <c r="DK22" i="29"/>
  <c r="DK25" i="29"/>
  <c r="DK27" i="29"/>
  <c r="DK26" i="29"/>
  <c r="DK18" i="29"/>
  <c r="DK19" i="29"/>
  <c r="DK23" i="29"/>
  <c r="DK12" i="29"/>
  <c r="DK24" i="29"/>
  <c r="DL15" i="29" l="1"/>
  <c r="DL16" i="29"/>
  <c r="DL13" i="29"/>
  <c r="DL11" i="29"/>
  <c r="DL18" i="29"/>
  <c r="DL14" i="29"/>
  <c r="DL21" i="29"/>
  <c r="DL22" i="29"/>
  <c r="DL24" i="29"/>
  <c r="DL26" i="29"/>
  <c r="DL19" i="29"/>
  <c r="DL25" i="29"/>
  <c r="DL27" i="29"/>
  <c r="DL23" i="29"/>
  <c r="DL12" i="29"/>
  <c r="DM12" i="29" l="1"/>
  <c r="DM15" i="29"/>
  <c r="DM16" i="29"/>
  <c r="DM18" i="29"/>
  <c r="DM14" i="29"/>
  <c r="DM19" i="29"/>
  <c r="DM24" i="29"/>
  <c r="DM21" i="29"/>
  <c r="DM11" i="29"/>
  <c r="DM22" i="29"/>
  <c r="DM26" i="29"/>
  <c r="DM13" i="29"/>
  <c r="DM25" i="29"/>
  <c r="DM27" i="29"/>
  <c r="DM23" i="29"/>
  <c r="DN12" i="29" l="1"/>
  <c r="DN15" i="29"/>
  <c r="DN13" i="29"/>
  <c r="DN18" i="29"/>
  <c r="DN16" i="29"/>
  <c r="DN21" i="29"/>
  <c r="DN11" i="29"/>
  <c r="DN14" i="29"/>
  <c r="DN23" i="29"/>
  <c r="DN24" i="29"/>
  <c r="DN19" i="29"/>
  <c r="DN22" i="29"/>
  <c r="DN25" i="29"/>
  <c r="DN26" i="29"/>
  <c r="DN27" i="29"/>
  <c r="DO12" i="29" l="1"/>
  <c r="DO16" i="29"/>
  <c r="DO15" i="29"/>
  <c r="DO18" i="29"/>
  <c r="DO21" i="29"/>
  <c r="DO13" i="29"/>
  <c r="DO23" i="29"/>
  <c r="DO24" i="29"/>
  <c r="DO11" i="29"/>
  <c r="DO25" i="29"/>
  <c r="DO14" i="29"/>
  <c r="DO22" i="29"/>
  <c r="DO27" i="29"/>
  <c r="DO19" i="29"/>
  <c r="DO26" i="29"/>
  <c r="DP12" i="29" l="1"/>
  <c r="DP14" i="29"/>
  <c r="DP15" i="29"/>
  <c r="DP16" i="29"/>
  <c r="DP18" i="29"/>
  <c r="DP13" i="29"/>
  <c r="DP22" i="29"/>
  <c r="DP23" i="29"/>
  <c r="DP21" i="29"/>
  <c r="DP27" i="29"/>
  <c r="DP11" i="29"/>
  <c r="DP25" i="29"/>
  <c r="DP24" i="29"/>
  <c r="DP26" i="29"/>
  <c r="DP19" i="29"/>
  <c r="DQ14" i="29" l="1"/>
  <c r="DQ12" i="29"/>
  <c r="DQ15" i="29"/>
  <c r="DQ11" i="29"/>
  <c r="DQ16" i="29"/>
  <c r="DQ13" i="29"/>
  <c r="DQ23" i="29"/>
  <c r="DQ24" i="29"/>
  <c r="DQ26" i="29"/>
  <c r="DQ21" i="29"/>
  <c r="DQ27" i="29"/>
  <c r="DQ25" i="29"/>
  <c r="DQ18" i="29"/>
  <c r="DQ19" i="29"/>
  <c r="DQ22" i="29"/>
  <c r="DR14" i="29" l="1"/>
  <c r="DR12" i="29"/>
  <c r="DR15" i="29"/>
  <c r="DR16" i="29"/>
  <c r="DR19" i="29"/>
  <c r="DR13" i="29"/>
  <c r="DR23" i="29"/>
  <c r="DR21" i="29"/>
  <c r="DR11" i="29"/>
  <c r="DR27" i="29"/>
  <c r="DR24" i="29"/>
  <c r="DR25" i="29"/>
  <c r="DR18" i="29"/>
  <c r="DR22" i="29"/>
  <c r="DR26" i="29"/>
  <c r="DS11" i="29" l="1"/>
  <c r="DS14" i="29"/>
  <c r="DS13" i="29"/>
  <c r="DS15" i="29"/>
  <c r="DS18" i="29"/>
  <c r="DS16" i="29"/>
  <c r="DS19" i="29"/>
  <c r="DS23" i="29"/>
  <c r="DS21" i="29"/>
  <c r="DS27" i="29"/>
  <c r="DS24" i="29"/>
  <c r="DS25" i="29"/>
  <c r="DS12" i="29"/>
  <c r="DS26" i="29"/>
  <c r="DS22" i="29"/>
  <c r="DT11" i="29" l="1"/>
  <c r="DT14" i="29"/>
  <c r="DT12" i="29"/>
  <c r="DT13" i="29"/>
  <c r="DT15" i="29"/>
  <c r="DT21" i="29"/>
  <c r="DT18" i="29"/>
  <c r="DT16" i="29"/>
  <c r="DT19" i="29"/>
  <c r="DT23" i="29"/>
  <c r="DT27" i="29"/>
  <c r="DT25" i="29"/>
  <c r="DT22" i="29"/>
  <c r="DT26" i="29"/>
  <c r="DT24" i="29"/>
  <c r="DU11" i="29" l="1"/>
  <c r="DU13" i="29"/>
  <c r="DU19" i="29"/>
  <c r="DU22" i="29"/>
  <c r="DU18" i="29"/>
  <c r="DU15" i="29"/>
  <c r="DU16" i="29"/>
  <c r="DU14" i="29"/>
  <c r="DU21" i="29"/>
  <c r="DU23" i="29"/>
  <c r="DU12" i="29"/>
  <c r="DU25" i="29"/>
  <c r="DU27" i="29"/>
  <c r="DU24" i="29"/>
  <c r="DU26" i="29"/>
  <c r="DV11" i="29" l="1"/>
  <c r="DV13" i="29"/>
  <c r="DV15" i="29"/>
  <c r="DV16" i="29"/>
  <c r="DV14" i="29"/>
  <c r="DV23" i="29"/>
  <c r="DV12" i="29"/>
  <c r="DV22" i="29"/>
  <c r="DV18" i="29"/>
  <c r="DV19" i="29"/>
  <c r="DV26" i="29"/>
  <c r="DV21" i="29"/>
  <c r="DV24" i="29"/>
  <c r="DV25" i="29"/>
  <c r="DV27" i="29"/>
  <c r="DW13" i="29" l="1"/>
  <c r="DW11" i="29"/>
  <c r="DW12" i="29"/>
  <c r="DW14" i="29"/>
  <c r="DW22" i="29"/>
  <c r="DW15" i="29"/>
  <c r="DW16" i="29"/>
  <c r="DW18" i="29"/>
  <c r="DW19" i="29"/>
  <c r="DW25" i="29"/>
  <c r="DW27" i="29"/>
  <c r="DW26" i="29"/>
  <c r="DW23" i="29"/>
  <c r="DW21" i="29"/>
  <c r="DW24" i="29"/>
  <c r="DX15" i="29" l="1"/>
  <c r="DX13" i="29"/>
  <c r="DX16" i="29"/>
  <c r="DX11" i="29"/>
  <c r="DX18" i="29"/>
  <c r="DX12" i="29"/>
  <c r="DX22" i="29"/>
  <c r="DX19" i="29"/>
  <c r="DX26" i="29"/>
  <c r="DX14" i="29"/>
  <c r="DX23" i="29"/>
  <c r="DX21" i="29"/>
  <c r="DX27" i="29"/>
  <c r="DX24" i="29"/>
  <c r="DX25" i="29"/>
  <c r="DY15" i="29" l="1"/>
  <c r="DY13" i="29"/>
  <c r="DY16" i="29"/>
  <c r="DY18" i="29"/>
  <c r="DY12" i="29"/>
  <c r="DY21" i="29"/>
  <c r="DY24" i="29"/>
  <c r="DY22" i="29"/>
  <c r="DY19" i="29"/>
  <c r="DY26" i="29"/>
  <c r="DY11" i="29"/>
  <c r="DY14" i="29"/>
  <c r="DY23" i="29"/>
  <c r="DY25" i="29"/>
  <c r="DY27" i="29"/>
  <c r="DZ15" i="29" l="1"/>
  <c r="DZ13" i="29"/>
  <c r="DZ11" i="29"/>
  <c r="DZ18" i="29"/>
  <c r="DZ12" i="29"/>
  <c r="DZ19" i="29"/>
  <c r="DZ21" i="29"/>
  <c r="DZ22" i="29"/>
  <c r="DZ16" i="29"/>
  <c r="DZ26" i="29"/>
  <c r="DZ14" i="29"/>
  <c r="DZ24" i="29"/>
  <c r="DZ25" i="29"/>
  <c r="DZ23" i="29"/>
  <c r="DZ27" i="29"/>
  <c r="EA12" i="29" l="1"/>
  <c r="EA15" i="29"/>
  <c r="EA16" i="29"/>
  <c r="EA11" i="29"/>
  <c r="EA14" i="29"/>
  <c r="EA13" i="29"/>
  <c r="EA18" i="29"/>
  <c r="EA21" i="29"/>
  <c r="EA22" i="29"/>
  <c r="EA19" i="29"/>
  <c r="EA23" i="29"/>
  <c r="EA26" i="29"/>
  <c r="EA24" i="29"/>
  <c r="EA27" i="29"/>
  <c r="EA25" i="29"/>
  <c r="EB12" i="29" l="1"/>
  <c r="EB14" i="29"/>
  <c r="EB13" i="29"/>
  <c r="EB16" i="29"/>
  <c r="EB11" i="29"/>
  <c r="EB18" i="29"/>
  <c r="EB15" i="29"/>
  <c r="EB22" i="29"/>
  <c r="EB23" i="29"/>
  <c r="EB21" i="29"/>
  <c r="EB24" i="29"/>
  <c r="EB25" i="29"/>
  <c r="EB19" i="29"/>
  <c r="EB26" i="29"/>
  <c r="EB27" i="29"/>
  <c r="EC12" i="29" l="1"/>
  <c r="EC15" i="29"/>
  <c r="EC14" i="29"/>
  <c r="EC16" i="29"/>
  <c r="EC11" i="29"/>
  <c r="EC13" i="29"/>
  <c r="EC23" i="29"/>
  <c r="EC21" i="29"/>
  <c r="EC24" i="29"/>
  <c r="EC26" i="29"/>
  <c r="EC18" i="29"/>
  <c r="EC27" i="29"/>
  <c r="EC22" i="29"/>
  <c r="EC25" i="29"/>
  <c r="EC19" i="29"/>
  <c r="ED14" i="29" l="1"/>
  <c r="ED12" i="29"/>
  <c r="ED16" i="29"/>
  <c r="ED11" i="29"/>
  <c r="ED13" i="29"/>
  <c r="ED18" i="29"/>
  <c r="ED23" i="29"/>
  <c r="ED21" i="29"/>
  <c r="ED15" i="29"/>
  <c r="ED24" i="29"/>
  <c r="ED27" i="29"/>
  <c r="ED22" i="29"/>
  <c r="ED25" i="29"/>
  <c r="ED19" i="29"/>
  <c r="ED26" i="29"/>
  <c r="EE14" i="29" l="1"/>
  <c r="EE12" i="29"/>
  <c r="EE16" i="29"/>
  <c r="EE11" i="29"/>
  <c r="EE13" i="29"/>
  <c r="EE23" i="29"/>
  <c r="EE21" i="29"/>
  <c r="EE15" i="29"/>
  <c r="EE18" i="29"/>
  <c r="EE24" i="29"/>
  <c r="EE27" i="29"/>
  <c r="EE22" i="29"/>
  <c r="EE25" i="29"/>
  <c r="EE19" i="29"/>
  <c r="EE26" i="29"/>
  <c r="EF14" i="29" l="1"/>
  <c r="EF12" i="29"/>
  <c r="EF16" i="29"/>
  <c r="EF19" i="29"/>
  <c r="EF13" i="29"/>
  <c r="EF23" i="29"/>
  <c r="EF27" i="29"/>
  <c r="EF15" i="29"/>
  <c r="EF18" i="29"/>
  <c r="EF24" i="29"/>
  <c r="EF11" i="29"/>
  <c r="EF22" i="29"/>
  <c r="EF25" i="29"/>
  <c r="EF26" i="29"/>
  <c r="EF21" i="29"/>
  <c r="EG11" i="29" l="1"/>
  <c r="EG14" i="29"/>
  <c r="EG19" i="29"/>
  <c r="EG12" i="29"/>
  <c r="EG21" i="29"/>
  <c r="EG13" i="29"/>
  <c r="EG16" i="29"/>
  <c r="EG15" i="29"/>
  <c r="EG18" i="29"/>
  <c r="EG24" i="29"/>
  <c r="EG27" i="29"/>
  <c r="EG22" i="29"/>
  <c r="EG25" i="29"/>
  <c r="EG23" i="29"/>
  <c r="EG26" i="29"/>
  <c r="EH11" i="29" l="1"/>
  <c r="EH13" i="29"/>
  <c r="EH15" i="29"/>
  <c r="EH16" i="29"/>
  <c r="EH12" i="29"/>
  <c r="EH14" i="29"/>
  <c r="EH23" i="29"/>
  <c r="EH22" i="29"/>
  <c r="EH19" i="29"/>
  <c r="EH18" i="29"/>
  <c r="EH21" i="29"/>
  <c r="EH24" i="29"/>
  <c r="EH27" i="29"/>
  <c r="EH26" i="29"/>
  <c r="EH25" i="29"/>
  <c r="EI11" i="29" l="1"/>
  <c r="EI14" i="29"/>
  <c r="EI15" i="29"/>
  <c r="EI12" i="29"/>
  <c r="EI22" i="29"/>
  <c r="EI19" i="29"/>
  <c r="EI25" i="29"/>
  <c r="EI27" i="29"/>
  <c r="EI26" i="29"/>
  <c r="EI16" i="29"/>
  <c r="EI18" i="29"/>
  <c r="EI13" i="29"/>
  <c r="EI24" i="29"/>
  <c r="EI21" i="29"/>
  <c r="EI23" i="29"/>
  <c r="EJ13" i="29" l="1"/>
  <c r="EJ11" i="29"/>
  <c r="EJ16" i="29"/>
  <c r="EJ15" i="29"/>
  <c r="EJ14" i="29"/>
  <c r="EJ12" i="29"/>
  <c r="EJ22" i="29"/>
  <c r="EJ19" i="29"/>
  <c r="EJ26" i="29"/>
  <c r="EJ18" i="29"/>
  <c r="EJ24" i="29"/>
  <c r="EJ25" i="29"/>
  <c r="EJ27" i="29"/>
  <c r="EJ21" i="29"/>
  <c r="EJ23" i="29"/>
  <c r="EK15" i="29" l="1"/>
  <c r="EK13" i="29"/>
  <c r="EK11" i="29"/>
  <c r="EK16" i="29"/>
  <c r="EK18" i="29"/>
  <c r="EK14" i="29"/>
  <c r="EK24" i="29"/>
  <c r="EK12" i="29"/>
  <c r="EK22" i="29"/>
  <c r="EK19" i="29"/>
  <c r="EK26" i="29"/>
  <c r="EK27" i="29"/>
  <c r="EK21" i="29"/>
  <c r="EK25" i="29"/>
  <c r="EK23" i="29"/>
  <c r="EL15" i="29" l="1"/>
  <c r="EL13" i="29"/>
  <c r="EL11" i="29"/>
  <c r="EL12" i="29"/>
  <c r="EL14" i="29"/>
  <c r="EL18" i="29"/>
  <c r="EL22" i="29"/>
  <c r="EL19" i="29"/>
  <c r="EL23" i="29"/>
  <c r="EL26" i="29"/>
  <c r="EL16" i="29"/>
  <c r="EL21" i="29"/>
  <c r="EL24" i="29"/>
  <c r="EL27" i="29"/>
  <c r="EL25" i="29"/>
  <c r="EM12" i="29" l="1"/>
  <c r="EM15" i="29"/>
  <c r="EM13" i="29"/>
  <c r="EM16" i="29"/>
  <c r="EM18" i="29"/>
  <c r="EM21" i="29"/>
  <c r="EM19" i="29"/>
  <c r="EM14" i="29"/>
  <c r="EM22" i="29"/>
  <c r="EM23" i="29"/>
  <c r="EM26" i="29"/>
  <c r="EM11" i="29"/>
  <c r="EM25" i="29"/>
  <c r="EM24" i="29"/>
  <c r="EM27" i="29"/>
  <c r="EN12" i="29" l="1"/>
  <c r="EN14" i="29"/>
  <c r="EN15" i="29"/>
  <c r="EN11" i="29"/>
  <c r="EN18" i="29"/>
  <c r="EN22" i="29"/>
  <c r="EN21" i="29"/>
  <c r="EN23" i="29"/>
  <c r="EN16" i="29"/>
  <c r="EN13" i="29"/>
  <c r="EN26" i="29"/>
  <c r="EN25" i="29"/>
  <c r="EN19" i="29"/>
  <c r="EN24" i="29"/>
  <c r="EN27" i="29"/>
  <c r="EO13" i="29" l="1"/>
  <c r="EO15" i="29"/>
  <c r="EO11" i="29"/>
  <c r="EO23" i="29"/>
  <c r="EO18" i="29"/>
  <c r="EO21" i="29"/>
  <c r="EO14" i="29"/>
  <c r="EO12" i="29"/>
  <c r="EO24" i="29"/>
  <c r="EO26" i="29"/>
  <c r="EO25" i="29"/>
  <c r="EO16" i="29"/>
  <c r="EO19" i="29"/>
  <c r="EO27" i="29"/>
  <c r="EO22" i="29"/>
  <c r="EP15" i="29" l="1"/>
  <c r="EP11" i="29"/>
  <c r="EP23" i="29"/>
  <c r="EP18" i="29"/>
  <c r="EP21" i="29"/>
  <c r="EP14" i="29"/>
  <c r="EP12" i="29"/>
  <c r="EP27" i="29"/>
  <c r="EP25" i="29"/>
  <c r="EP16" i="29"/>
  <c r="EP22" i="29"/>
  <c r="EP19" i="29"/>
  <c r="EP24" i="29"/>
  <c r="EP13" i="29"/>
  <c r="EP26" i="29"/>
  <c r="EQ12" i="29" l="1"/>
  <c r="EQ14" i="29"/>
  <c r="EQ15" i="29"/>
  <c r="EQ16" i="29"/>
  <c r="EQ11" i="29"/>
  <c r="EQ23" i="29"/>
  <c r="EQ18" i="29"/>
  <c r="EQ21" i="29"/>
  <c r="EQ24" i="29"/>
  <c r="EQ27" i="29"/>
  <c r="EQ25" i="29"/>
  <c r="EQ26" i="29"/>
  <c r="EQ22" i="29"/>
  <c r="EQ19" i="29"/>
  <c r="EQ13" i="29"/>
  <c r="ER12" i="29" l="1"/>
  <c r="ER14" i="29"/>
  <c r="ER13" i="29"/>
  <c r="ER16" i="29"/>
  <c r="ER15" i="29"/>
  <c r="ER11" i="29"/>
  <c r="ER23" i="29"/>
  <c r="ER18" i="29"/>
  <c r="ER21" i="29"/>
  <c r="ER27" i="29"/>
  <c r="ER24" i="29"/>
  <c r="ER25" i="29"/>
  <c r="ER22" i="29"/>
  <c r="ER26" i="29"/>
  <c r="ER19" i="29"/>
  <c r="ES11" i="29" l="1"/>
  <c r="ES12" i="29"/>
  <c r="ES14" i="29"/>
  <c r="ES13" i="29"/>
  <c r="ES16" i="29"/>
  <c r="ES19" i="29"/>
  <c r="ES18" i="29"/>
  <c r="ES23" i="29"/>
  <c r="ES21" i="29"/>
  <c r="ES24" i="29"/>
  <c r="ES27" i="29"/>
  <c r="ES15" i="29"/>
  <c r="ES25" i="29"/>
  <c r="ES26" i="29"/>
  <c r="ES22" i="29"/>
  <c r="ET11" i="29" l="1"/>
  <c r="ET13" i="29"/>
  <c r="ET15" i="29"/>
  <c r="ET16" i="29"/>
  <c r="ET12" i="29"/>
  <c r="ET14" i="29"/>
  <c r="ET21" i="29"/>
  <c r="ET23" i="29"/>
  <c r="ET18" i="29"/>
  <c r="ET24" i="29"/>
  <c r="ET27" i="29"/>
  <c r="ET25" i="29"/>
  <c r="ET22" i="29"/>
  <c r="ET26" i="29"/>
  <c r="ET19" i="29"/>
  <c r="EU13" i="29" l="1"/>
  <c r="EU16" i="29"/>
  <c r="EU19" i="29"/>
  <c r="EU22" i="29"/>
  <c r="EU11" i="29"/>
  <c r="EU14" i="29"/>
  <c r="EU25" i="29"/>
  <c r="EU27" i="29"/>
  <c r="EU12" i="29"/>
  <c r="EU21" i="29"/>
  <c r="EU23" i="29"/>
  <c r="EU15" i="29"/>
  <c r="EU24" i="29"/>
  <c r="EU18" i="29"/>
  <c r="EU26" i="29"/>
  <c r="EV16" i="29" l="1"/>
  <c r="EV12" i="29"/>
  <c r="EV14" i="29"/>
  <c r="EV11" i="29"/>
  <c r="EV13" i="29"/>
  <c r="EV19" i="29"/>
  <c r="EV22" i="29"/>
  <c r="EV26" i="29"/>
  <c r="EV21" i="29"/>
  <c r="EV23" i="29"/>
  <c r="EV15" i="29"/>
  <c r="EV18" i="29"/>
  <c r="EV25" i="29"/>
  <c r="EV24" i="29"/>
  <c r="EV27" i="29"/>
  <c r="EW11" i="29" l="1"/>
  <c r="EW13" i="29"/>
  <c r="EW16" i="29"/>
  <c r="EW12" i="29"/>
  <c r="EW15" i="29"/>
  <c r="EW24" i="29"/>
  <c r="EW19" i="29"/>
  <c r="EW22" i="29"/>
  <c r="EW14" i="29"/>
  <c r="EW26" i="29"/>
  <c r="EW21" i="29"/>
  <c r="EW23" i="29"/>
  <c r="EW25" i="29"/>
  <c r="EW18" i="29"/>
  <c r="EW27" i="29"/>
  <c r="EX15" i="29" l="1"/>
  <c r="EX11" i="29"/>
  <c r="EX13" i="29"/>
  <c r="EX12" i="29"/>
  <c r="EX16" i="29"/>
  <c r="EX19" i="29"/>
  <c r="EX22" i="29"/>
  <c r="EX26" i="29"/>
  <c r="EX21" i="29"/>
  <c r="EX27" i="29"/>
  <c r="EX23" i="29"/>
  <c r="EX25" i="29"/>
  <c r="EX14" i="29"/>
  <c r="EX18" i="29"/>
  <c r="EX24" i="29"/>
  <c r="EY12" i="29" l="1"/>
  <c r="EY15" i="29"/>
  <c r="EY11" i="29"/>
  <c r="EY13" i="29"/>
  <c r="EY16" i="29"/>
  <c r="EY14" i="29"/>
  <c r="EY18" i="29"/>
  <c r="EY19" i="29"/>
  <c r="EY22" i="29"/>
  <c r="EY26" i="29"/>
  <c r="EY21" i="29"/>
  <c r="EY23" i="29"/>
  <c r="EY24" i="29"/>
  <c r="EY27" i="29"/>
  <c r="EY25" i="29"/>
  <c r="EZ12" i="29" l="1"/>
  <c r="EZ14" i="29"/>
  <c r="EZ15" i="29"/>
  <c r="EZ11" i="29"/>
  <c r="EZ13" i="29"/>
  <c r="EZ16" i="29"/>
  <c r="EZ19" i="29"/>
  <c r="EZ22" i="29"/>
  <c r="EZ26" i="29"/>
  <c r="EZ21" i="29"/>
  <c r="EZ27" i="29"/>
  <c r="EZ23" i="29"/>
  <c r="EZ25" i="29"/>
  <c r="EZ18" i="29"/>
  <c r="EZ24" i="29"/>
  <c r="FA15" i="29" l="1"/>
  <c r="FA11" i="29"/>
  <c r="FA14" i="29"/>
  <c r="FA12" i="29"/>
  <c r="FA13" i="29"/>
  <c r="FA16" i="29"/>
  <c r="FA21" i="29"/>
  <c r="FA24" i="29"/>
  <c r="FA26" i="29"/>
  <c r="FA19" i="29"/>
  <c r="FA22" i="29"/>
  <c r="FA23" i="29"/>
  <c r="FA25" i="29"/>
  <c r="FA18" i="29"/>
  <c r="FA27" i="29"/>
  <c r="FB11" i="29" l="1"/>
  <c r="FB13" i="29"/>
  <c r="FB14" i="29"/>
  <c r="FB12" i="29"/>
  <c r="FB18" i="29"/>
  <c r="FB23" i="29"/>
  <c r="FB15" i="29"/>
  <c r="FB16" i="29"/>
  <c r="FB21" i="29"/>
  <c r="FB19" i="29"/>
  <c r="FB22" i="29"/>
  <c r="FB25" i="29"/>
  <c r="FB26" i="29"/>
  <c r="FB27" i="29"/>
  <c r="FB24" i="29"/>
  <c r="FC15" i="29" l="1"/>
  <c r="FC11" i="29"/>
  <c r="FC14" i="29"/>
  <c r="FC12" i="29"/>
  <c r="FC18" i="29"/>
  <c r="FC23" i="29"/>
  <c r="FC16" i="29"/>
  <c r="FC21" i="29"/>
  <c r="FC27" i="29"/>
  <c r="FC19" i="29"/>
  <c r="FC22" i="29"/>
  <c r="FC25" i="29"/>
  <c r="FC26" i="29"/>
  <c r="FC13" i="29"/>
  <c r="FC24" i="29"/>
  <c r="FD14" i="29" l="1"/>
  <c r="FD11" i="29"/>
  <c r="FD15" i="29"/>
  <c r="FD18" i="29"/>
  <c r="FD23" i="29"/>
  <c r="FD16" i="29"/>
  <c r="FD21" i="29"/>
  <c r="FD12" i="29"/>
  <c r="FD27" i="29"/>
  <c r="FD19" i="29"/>
  <c r="FD22" i="29"/>
  <c r="FD25" i="29"/>
  <c r="FD26" i="29"/>
  <c r="FD13" i="29"/>
  <c r="FD24" i="29"/>
  <c r="FE11" i="29" l="1"/>
  <c r="FE12" i="29"/>
  <c r="FE14" i="29"/>
  <c r="FE19" i="29"/>
  <c r="FE13" i="29"/>
  <c r="FE15" i="29"/>
  <c r="FE18" i="29"/>
  <c r="FE23" i="29"/>
  <c r="FE16" i="29"/>
  <c r="FE21" i="29"/>
  <c r="FE24" i="29"/>
  <c r="FE25" i="29"/>
  <c r="FE27" i="29"/>
  <c r="FE22" i="29"/>
  <c r="FE26" i="29"/>
  <c r="FF11" i="29" l="1"/>
  <c r="FF13" i="29"/>
  <c r="FF15" i="29"/>
  <c r="FF16" i="29"/>
  <c r="FF12" i="29"/>
  <c r="FF14" i="29"/>
  <c r="FF18" i="29"/>
  <c r="FF21" i="29"/>
  <c r="FF23" i="29"/>
  <c r="FF27" i="29"/>
  <c r="FF24" i="29"/>
  <c r="FF19" i="29"/>
  <c r="FF22" i="29"/>
  <c r="FF25" i="29"/>
  <c r="FF26" i="29"/>
  <c r="FG12" i="29" l="1"/>
  <c r="FG14" i="29"/>
  <c r="FG15" i="29"/>
  <c r="FG11" i="29"/>
  <c r="FG13" i="29"/>
  <c r="FG18" i="29"/>
  <c r="FG23" i="29"/>
  <c r="FG25" i="29"/>
  <c r="FG27" i="29"/>
  <c r="FG21" i="29"/>
  <c r="FG16" i="29"/>
  <c r="FG24" i="29"/>
  <c r="FG19" i="29"/>
  <c r="FG22" i="29"/>
  <c r="FG26" i="29"/>
  <c r="FH16" i="29" l="1"/>
  <c r="FH12" i="29"/>
  <c r="FH15" i="29"/>
  <c r="FH14" i="29"/>
  <c r="FH22" i="29"/>
  <c r="FH13" i="29"/>
  <c r="FH11" i="29"/>
  <c r="FH18" i="29"/>
  <c r="FH24" i="29"/>
  <c r="FH27" i="29"/>
  <c r="FH19" i="29"/>
  <c r="FH23" i="29"/>
  <c r="FH21" i="29"/>
  <c r="FH25" i="29"/>
  <c r="FH26" i="29"/>
  <c r="FI16" i="29" l="1"/>
  <c r="FI14" i="29"/>
  <c r="FI15" i="29"/>
  <c r="FI19" i="29"/>
  <c r="FI24" i="29"/>
  <c r="FI22" i="29"/>
  <c r="FI13" i="29"/>
  <c r="FI18" i="29"/>
  <c r="FI26" i="29"/>
  <c r="FI12" i="29"/>
  <c r="FI21" i="29"/>
  <c r="FI27" i="29"/>
  <c r="FI23" i="29"/>
  <c r="FI11" i="29"/>
  <c r="FI25" i="29"/>
  <c r="FJ13" i="29" l="1"/>
  <c r="FJ12" i="29"/>
  <c r="FJ15" i="29"/>
  <c r="FJ11" i="29"/>
  <c r="FJ19" i="29"/>
  <c r="FJ22" i="29"/>
  <c r="FJ23" i="29"/>
  <c r="FJ26" i="29"/>
  <c r="FJ18" i="29"/>
  <c r="FJ24" i="29"/>
  <c r="FJ14" i="29"/>
  <c r="FJ25" i="29"/>
  <c r="FJ16" i="29"/>
  <c r="FJ27" i="29"/>
  <c r="FJ21" i="29"/>
  <c r="FK12" i="29" l="1"/>
  <c r="FK11" i="29"/>
  <c r="FK15" i="29"/>
  <c r="FK13" i="29"/>
  <c r="FK16" i="29"/>
  <c r="FK18" i="29"/>
  <c r="FK14" i="29"/>
  <c r="FK19" i="29"/>
  <c r="FK22" i="29"/>
  <c r="FK23" i="29"/>
  <c r="FK26" i="29"/>
  <c r="FK27" i="29"/>
  <c r="FK21" i="29"/>
  <c r="FK24" i="29"/>
  <c r="FK25" i="29"/>
  <c r="FL12" i="29" l="1"/>
  <c r="FL14" i="29"/>
  <c r="FL11" i="29"/>
  <c r="FL15" i="29"/>
  <c r="FL13" i="29"/>
  <c r="FL16" i="29"/>
  <c r="FL22" i="29"/>
  <c r="FL19" i="29"/>
  <c r="FL18" i="29"/>
  <c r="FL23" i="29"/>
  <c r="FL26" i="29"/>
  <c r="FL21" i="29"/>
  <c r="FL24" i="29"/>
  <c r="FL27" i="29"/>
  <c r="FL25" i="29"/>
  <c r="FM11" i="29" l="1"/>
  <c r="FM15" i="29"/>
  <c r="FM13" i="29"/>
  <c r="FM16" i="29"/>
  <c r="FM19" i="29"/>
  <c r="FM22" i="29"/>
  <c r="FM24" i="29"/>
  <c r="FM26" i="29"/>
  <c r="FM12" i="29"/>
  <c r="FM18" i="29"/>
  <c r="FM23" i="29"/>
  <c r="FM21" i="29"/>
  <c r="FM27" i="29"/>
  <c r="FM14" i="29"/>
  <c r="FM25" i="29"/>
  <c r="FN11" i="29" l="1"/>
  <c r="FN15" i="29"/>
  <c r="FN16" i="29"/>
  <c r="FN21" i="29"/>
  <c r="FN13" i="29"/>
  <c r="FN19" i="29"/>
  <c r="FN22" i="29"/>
  <c r="FN12" i="29"/>
  <c r="FN18" i="29"/>
  <c r="FN23" i="29"/>
  <c r="FN26" i="29"/>
  <c r="FN24" i="29"/>
  <c r="FN14" i="29"/>
  <c r="FN27" i="29"/>
  <c r="FN25" i="29"/>
  <c r="FO13" i="29" l="1"/>
  <c r="FO16" i="29"/>
  <c r="FO15" i="29"/>
  <c r="FO23" i="29"/>
  <c r="FO21" i="29"/>
  <c r="FO19" i="29"/>
  <c r="FO25" i="29"/>
  <c r="FO12" i="29"/>
  <c r="FO18" i="29"/>
  <c r="FO11" i="29"/>
  <c r="FO24" i="29"/>
  <c r="FO26" i="29"/>
  <c r="FO22" i="29"/>
  <c r="FO27" i="29"/>
  <c r="FO14" i="29"/>
  <c r="FP11" i="29" l="1"/>
  <c r="FP15" i="29"/>
  <c r="FP13" i="29"/>
  <c r="FP16" i="29"/>
  <c r="FP12" i="29"/>
  <c r="FP18" i="29"/>
  <c r="FP23" i="29"/>
  <c r="FP21" i="29"/>
  <c r="FP27" i="29"/>
  <c r="FP25" i="29"/>
  <c r="FP22" i="29"/>
  <c r="FP24" i="29"/>
  <c r="FP26" i="29"/>
  <c r="FP14" i="29"/>
  <c r="FP19" i="29"/>
  <c r="FQ11" i="29" l="1"/>
  <c r="FQ14" i="29"/>
  <c r="FQ13" i="29"/>
  <c r="FQ19" i="29"/>
  <c r="FQ15" i="29"/>
  <c r="FQ12" i="29"/>
  <c r="FQ18" i="29"/>
  <c r="FQ23" i="29"/>
  <c r="FQ21" i="29"/>
  <c r="FQ27" i="29"/>
  <c r="FQ25" i="29"/>
  <c r="FQ16" i="29"/>
  <c r="FQ26" i="29"/>
  <c r="FQ24" i="29"/>
  <c r="FQ22" i="29"/>
  <c r="FR11" i="29" l="1"/>
  <c r="FR13" i="29"/>
  <c r="FR15" i="29"/>
  <c r="FR14" i="29"/>
  <c r="FR12" i="29"/>
  <c r="FR21" i="29"/>
  <c r="FR18" i="29"/>
  <c r="FR23" i="29"/>
  <c r="FR27" i="29"/>
  <c r="FR25" i="29"/>
  <c r="FR19" i="29"/>
  <c r="FR16" i="29"/>
  <c r="FR26" i="29"/>
  <c r="FR22" i="29"/>
  <c r="FR24" i="29"/>
  <c r="FS12" i="29" l="1"/>
  <c r="FS14" i="29"/>
  <c r="FS13" i="29"/>
  <c r="FS18" i="29"/>
  <c r="FS15" i="29"/>
  <c r="FS21" i="29"/>
  <c r="FS23" i="29"/>
  <c r="FS25" i="29"/>
  <c r="FS27" i="29"/>
  <c r="FS24" i="29"/>
  <c r="FS16" i="29"/>
  <c r="FS26" i="29"/>
  <c r="FS19" i="29"/>
  <c r="FS11" i="29"/>
  <c r="FS22" i="29"/>
  <c r="FT12" i="29" l="1"/>
  <c r="FT16" i="29"/>
  <c r="FT14" i="29"/>
  <c r="FT13" i="29"/>
  <c r="FT18" i="29"/>
  <c r="FT21" i="29"/>
  <c r="FT15" i="29"/>
  <c r="FT24" i="29"/>
  <c r="FT27" i="29"/>
  <c r="FT25" i="29"/>
  <c r="FT23" i="29"/>
  <c r="FT11" i="29"/>
  <c r="FT22" i="29"/>
  <c r="FT26" i="29"/>
  <c r="FT19" i="29"/>
  <c r="FU12" i="29" l="1"/>
  <c r="FU13" i="29"/>
  <c r="FU14" i="29"/>
  <c r="FU22" i="29"/>
  <c r="FU24" i="29"/>
  <c r="FU18" i="29"/>
  <c r="FU21" i="29"/>
  <c r="FU27" i="29"/>
  <c r="FU19" i="29"/>
  <c r="FU25" i="29"/>
  <c r="FU26" i="29"/>
  <c r="FU15" i="29"/>
  <c r="FU11" i="29"/>
  <c r="FU16" i="29"/>
  <c r="FU23" i="29"/>
  <c r="FV12" i="29" l="1"/>
  <c r="FV14" i="29"/>
  <c r="FV11" i="29"/>
  <c r="FV16" i="29"/>
  <c r="FV22" i="29"/>
  <c r="FV13" i="29"/>
  <c r="FV18" i="29"/>
  <c r="FV26" i="29"/>
  <c r="FV21" i="29"/>
  <c r="FV24" i="29"/>
  <c r="FV15" i="29"/>
  <c r="FV23" i="29"/>
  <c r="FV19" i="29"/>
  <c r="FV25" i="29"/>
  <c r="FV27" i="29"/>
  <c r="FW12" i="29" l="1"/>
  <c r="FW13" i="29"/>
  <c r="FW16" i="29"/>
  <c r="FW14" i="29"/>
  <c r="FW11" i="29"/>
  <c r="FW18" i="29"/>
  <c r="FW19" i="29"/>
  <c r="FW22" i="29"/>
  <c r="FW26" i="29"/>
  <c r="FW21" i="29"/>
  <c r="FW24" i="29"/>
  <c r="FW25" i="29"/>
  <c r="FW15" i="29"/>
  <c r="FW23" i="29"/>
  <c r="FW27" i="29"/>
  <c r="FX12" i="29" l="1"/>
  <c r="FX14" i="29"/>
  <c r="FX15" i="29"/>
  <c r="FX13" i="29"/>
  <c r="FX11" i="29"/>
  <c r="FX22" i="29"/>
  <c r="FX19" i="29"/>
  <c r="FX26" i="29"/>
  <c r="FX21" i="29"/>
  <c r="FX24" i="29"/>
  <c r="FX27" i="29"/>
  <c r="FX25" i="29"/>
  <c r="FX16" i="29"/>
  <c r="FX23" i="29"/>
  <c r="FX18" i="29"/>
  <c r="FY11" i="29" l="1"/>
  <c r="FY15" i="29"/>
  <c r="FY13" i="29"/>
  <c r="FY12" i="29"/>
  <c r="FY14" i="29"/>
  <c r="FY16" i="29"/>
  <c r="FY19" i="29"/>
  <c r="FY22" i="29"/>
  <c r="FY24" i="29"/>
  <c r="FY26" i="29"/>
  <c r="FY21" i="29"/>
  <c r="FY18" i="29"/>
  <c r="FY23" i="29"/>
  <c r="FY27" i="29"/>
  <c r="FY25" i="29"/>
  <c r="FZ11" i="29" l="1"/>
  <c r="FZ15" i="29"/>
  <c r="FZ13" i="29"/>
  <c r="FZ12" i="29"/>
  <c r="FZ16" i="29"/>
  <c r="FZ14" i="29"/>
  <c r="FZ19" i="29"/>
  <c r="FZ22" i="29"/>
  <c r="FZ26" i="29"/>
  <c r="FZ21" i="29"/>
  <c r="FZ18" i="29"/>
  <c r="FZ24" i="29"/>
  <c r="FZ27" i="29"/>
  <c r="FZ25" i="29"/>
  <c r="FZ23" i="29"/>
  <c r="GA11" i="29" l="1"/>
  <c r="GA15" i="29"/>
  <c r="GA16" i="29"/>
  <c r="GA12" i="29"/>
  <c r="GA14" i="29"/>
  <c r="GA21" i="29"/>
  <c r="GA23" i="29"/>
  <c r="GA19" i="29"/>
  <c r="GA13" i="29"/>
  <c r="GA22" i="29"/>
  <c r="GA26" i="29"/>
  <c r="GA18" i="29"/>
  <c r="GA27" i="29"/>
  <c r="GA25" i="29"/>
  <c r="GA24" i="29"/>
  <c r="GB11" i="29" l="1"/>
  <c r="GB13" i="29"/>
  <c r="GB16" i="29"/>
  <c r="GB12" i="29"/>
  <c r="GB14" i="29"/>
  <c r="GB21" i="29"/>
  <c r="GB23" i="29"/>
  <c r="GB19" i="29"/>
  <c r="GB25" i="29"/>
  <c r="GB22" i="29"/>
  <c r="GB24" i="29"/>
  <c r="GB26" i="29"/>
  <c r="GB18" i="29"/>
  <c r="GB27" i="29"/>
  <c r="GB15" i="29"/>
  <c r="GC11" i="29" l="1"/>
  <c r="GC15" i="29"/>
  <c r="GC16" i="29"/>
  <c r="GC19" i="29"/>
  <c r="GC12" i="29"/>
  <c r="GC14" i="29"/>
  <c r="GC21" i="29"/>
  <c r="GC23" i="29"/>
  <c r="GC13" i="29"/>
  <c r="GC27" i="29"/>
  <c r="GC25" i="29"/>
  <c r="GC22" i="29"/>
  <c r="GC18" i="29"/>
  <c r="GC26" i="29"/>
  <c r="GC24" i="29"/>
  <c r="GD11" i="29" l="1"/>
  <c r="GD13" i="29"/>
  <c r="GD14" i="29"/>
  <c r="GD15" i="29"/>
  <c r="GD16" i="29"/>
  <c r="GD21" i="29"/>
  <c r="GD18" i="29"/>
  <c r="GD12" i="29"/>
  <c r="GD23" i="29"/>
  <c r="GD19" i="29"/>
  <c r="GD27" i="29"/>
  <c r="GD25" i="29"/>
  <c r="GD22" i="29"/>
  <c r="GD26" i="29"/>
  <c r="GD24" i="29"/>
  <c r="GE14" i="29" l="1"/>
  <c r="GE15" i="29"/>
  <c r="GE11" i="29"/>
  <c r="GE12" i="29"/>
  <c r="GE16" i="29"/>
  <c r="GE18" i="29"/>
  <c r="GE21" i="29"/>
  <c r="GE23" i="29"/>
  <c r="GE25" i="29"/>
  <c r="GE27" i="29"/>
  <c r="GE19" i="29"/>
  <c r="GE13" i="29"/>
  <c r="GE22" i="29"/>
  <c r="GE24" i="29"/>
  <c r="GE26" i="29"/>
  <c r="GF14" i="29" l="1"/>
  <c r="GF11" i="29"/>
  <c r="GF15" i="29"/>
  <c r="GF18" i="29"/>
  <c r="GF16" i="29"/>
  <c r="GF12" i="29"/>
  <c r="GF21" i="29"/>
  <c r="GF23" i="29"/>
  <c r="GF27" i="29"/>
  <c r="GF19" i="29"/>
  <c r="GF13" i="29"/>
  <c r="GF25" i="29"/>
  <c r="GF22" i="29"/>
  <c r="GF26" i="29"/>
  <c r="GF24" i="29"/>
  <c r="GG12" i="29" l="1"/>
  <c r="GG14" i="29"/>
  <c r="GG15" i="29"/>
  <c r="GG11" i="29"/>
  <c r="GG24" i="29"/>
  <c r="GG18" i="29"/>
  <c r="GG16" i="29"/>
  <c r="GG21" i="29"/>
  <c r="GG23" i="29"/>
  <c r="GG27" i="29"/>
  <c r="GG19" i="29"/>
  <c r="GG13" i="29"/>
  <c r="GG25" i="29"/>
  <c r="GG22" i="29"/>
  <c r="GG26" i="29"/>
  <c r="GH12" i="29" l="1"/>
  <c r="GH15" i="29"/>
  <c r="GH22" i="29"/>
  <c r="GH14" i="29"/>
  <c r="GH18" i="29"/>
  <c r="GH16" i="29"/>
  <c r="GH24" i="29"/>
  <c r="GH23" i="29"/>
  <c r="GH19" i="29"/>
  <c r="GH13" i="29"/>
  <c r="GH27" i="29"/>
  <c r="GH25" i="29"/>
  <c r="GH21" i="29"/>
  <c r="GH26" i="29"/>
  <c r="GH11" i="29"/>
  <c r="GI12" i="29" l="1"/>
  <c r="GI14" i="29"/>
  <c r="GI13" i="29"/>
  <c r="GI18" i="29"/>
  <c r="GI11" i="29"/>
  <c r="GI22" i="29"/>
  <c r="GI16" i="29"/>
  <c r="GI26" i="29"/>
  <c r="GI24" i="29"/>
  <c r="GI23" i="29"/>
  <c r="GI19" i="29"/>
  <c r="GI21" i="29"/>
  <c r="GI27" i="29"/>
  <c r="GI15" i="29"/>
  <c r="GI25" i="29"/>
  <c r="GJ12" i="29" l="1"/>
  <c r="GJ14" i="29"/>
  <c r="GJ13" i="29"/>
  <c r="GJ15" i="29"/>
  <c r="GJ22" i="29"/>
  <c r="GJ11" i="29"/>
  <c r="GJ18" i="29"/>
  <c r="GJ16" i="29"/>
  <c r="GJ26" i="29"/>
  <c r="GJ24" i="29"/>
  <c r="GJ23" i="29"/>
  <c r="GJ19" i="29"/>
  <c r="GJ25" i="29"/>
  <c r="GJ27" i="29"/>
  <c r="GJ21" i="29"/>
  <c r="GK13" i="29" l="1"/>
  <c r="GK15" i="29"/>
  <c r="GK12" i="29"/>
  <c r="GK19" i="29"/>
  <c r="GK11" i="29"/>
  <c r="GK22" i="29"/>
  <c r="GK14" i="29"/>
  <c r="GK24" i="29"/>
  <c r="GK26" i="29"/>
  <c r="GK18" i="29"/>
  <c r="GK16" i="29"/>
  <c r="GK27" i="29"/>
  <c r="GK25" i="29"/>
  <c r="GK21" i="29"/>
  <c r="GK23" i="29"/>
  <c r="GL13" i="29" l="1"/>
  <c r="GL15" i="29"/>
  <c r="GL12" i="29"/>
  <c r="GL16" i="29"/>
  <c r="GL19" i="29"/>
  <c r="GL11" i="29"/>
  <c r="GL22" i="29"/>
  <c r="GL14" i="29"/>
  <c r="GL18" i="29"/>
  <c r="GL26" i="29"/>
  <c r="GL24" i="29"/>
  <c r="GL25" i="29"/>
  <c r="GL27" i="29"/>
  <c r="GL23" i="29"/>
  <c r="GL21" i="29"/>
  <c r="GM11" i="29" l="1"/>
  <c r="GM13" i="29"/>
  <c r="GM15" i="29"/>
  <c r="GM16" i="29"/>
  <c r="GM19" i="29"/>
  <c r="GM23" i="29"/>
  <c r="GM12" i="29"/>
  <c r="GM22" i="29"/>
  <c r="GM14" i="29"/>
  <c r="GM26" i="29"/>
  <c r="GM18" i="29"/>
  <c r="GM24" i="29"/>
  <c r="GM25" i="29"/>
  <c r="GM27" i="29"/>
  <c r="GM21" i="29"/>
  <c r="GN11" i="29" l="1"/>
  <c r="GN12" i="29"/>
  <c r="GN13" i="29"/>
  <c r="GN16" i="29"/>
  <c r="GN21" i="29"/>
  <c r="GN23" i="29"/>
  <c r="GN19" i="29"/>
  <c r="GN14" i="29"/>
  <c r="GN18" i="29"/>
  <c r="GN26" i="29"/>
  <c r="GN22" i="29"/>
  <c r="GN24" i="29"/>
  <c r="GN25" i="29"/>
  <c r="GN27" i="29"/>
  <c r="GN15" i="29"/>
  <c r="GO11" i="29" l="1"/>
  <c r="GO13" i="29"/>
  <c r="GO15" i="29"/>
  <c r="GO16" i="29"/>
  <c r="GO19" i="29"/>
  <c r="GO14" i="29"/>
  <c r="GO21" i="29"/>
  <c r="GO23" i="29"/>
  <c r="GO12" i="29"/>
  <c r="GO25" i="29"/>
  <c r="GO18" i="29"/>
  <c r="GO24" i="29"/>
  <c r="GO26" i="29"/>
  <c r="GO22" i="29"/>
  <c r="GO27" i="29"/>
  <c r="GP11" i="29" l="1"/>
  <c r="GP13" i="29"/>
  <c r="GP14" i="29"/>
  <c r="GP16" i="29"/>
  <c r="GP21" i="29"/>
  <c r="GP15" i="29"/>
  <c r="GP19" i="29"/>
  <c r="GP23" i="29"/>
  <c r="GP27" i="29"/>
  <c r="GP25" i="29"/>
  <c r="GP18" i="29"/>
  <c r="GP24" i="29"/>
  <c r="GP12" i="29"/>
  <c r="GP22" i="29"/>
  <c r="GP26" i="29"/>
  <c r="GQ14" i="29" l="1"/>
  <c r="GQ11" i="29"/>
  <c r="GQ13" i="29"/>
  <c r="GQ15" i="29"/>
  <c r="GQ21" i="29"/>
  <c r="GQ19" i="29"/>
  <c r="GQ23" i="29"/>
  <c r="GQ25" i="29"/>
  <c r="GQ27" i="29"/>
  <c r="GQ16" i="29"/>
  <c r="GQ18" i="29"/>
  <c r="GQ12" i="29"/>
  <c r="GQ26" i="29"/>
  <c r="GQ22" i="29"/>
  <c r="GQ24" i="29"/>
  <c r="GR14" i="29" l="1"/>
  <c r="GR11" i="29"/>
  <c r="GR12" i="29"/>
  <c r="GR13" i="29"/>
  <c r="GR18" i="29"/>
  <c r="GR15" i="29"/>
  <c r="GR21" i="29"/>
  <c r="GR19" i="29"/>
  <c r="GR27" i="29"/>
  <c r="GR25" i="29"/>
  <c r="GR16" i="29"/>
  <c r="GR23" i="29"/>
  <c r="GR26" i="29"/>
  <c r="GR22" i="29"/>
  <c r="GR24" i="29"/>
  <c r="GS14" i="29" l="1"/>
  <c r="GS12" i="29"/>
  <c r="GS13" i="29"/>
  <c r="GS15" i="29"/>
  <c r="GS16" i="29"/>
  <c r="GS18" i="29"/>
  <c r="GS11" i="29"/>
  <c r="GS21" i="29"/>
  <c r="GS22" i="29"/>
  <c r="GS27" i="29"/>
  <c r="GS25" i="29"/>
  <c r="GS19" i="29"/>
  <c r="GS23" i="29"/>
  <c r="GS24" i="29"/>
  <c r="GS26" i="29"/>
  <c r="GT14" i="29" l="1"/>
  <c r="GT11" i="29"/>
  <c r="GT12" i="29"/>
  <c r="GT13" i="29"/>
  <c r="GT18" i="29"/>
  <c r="GT15" i="29"/>
  <c r="GT21" i="29"/>
  <c r="GT22" i="29"/>
  <c r="GT27" i="29"/>
  <c r="GT16" i="29"/>
  <c r="GT25" i="29"/>
  <c r="GT19" i="29"/>
  <c r="GT26" i="29"/>
  <c r="GT24" i="29"/>
  <c r="GT23" i="29"/>
  <c r="GU12" i="29" l="1"/>
  <c r="GU15" i="29"/>
  <c r="GU14" i="29"/>
  <c r="GU18" i="29"/>
  <c r="GU22" i="29"/>
  <c r="GU11" i="29"/>
  <c r="GU21" i="29"/>
  <c r="GU24" i="29"/>
  <c r="GU27" i="29"/>
  <c r="GU13" i="29"/>
  <c r="GU16" i="29"/>
  <c r="GU23" i="29"/>
  <c r="GU25" i="29"/>
  <c r="GU26" i="29"/>
  <c r="GU19" i="29"/>
  <c r="GV12" i="29" l="1"/>
  <c r="GV14" i="29"/>
  <c r="GV15" i="29"/>
  <c r="GV11" i="29"/>
  <c r="GV22" i="29"/>
  <c r="GV13" i="29"/>
  <c r="GV16" i="29"/>
  <c r="GV18" i="29"/>
  <c r="GV26" i="29"/>
  <c r="GV21" i="29"/>
  <c r="GV24" i="29"/>
  <c r="GV23" i="29"/>
  <c r="GV25" i="29"/>
  <c r="GV27" i="29"/>
  <c r="GV19" i="29"/>
  <c r="GW12" i="29" l="1"/>
  <c r="GW13" i="29"/>
  <c r="GW15" i="29"/>
  <c r="GW14" i="29"/>
  <c r="GW11" i="29"/>
  <c r="GW16" i="29"/>
  <c r="GW22" i="29"/>
  <c r="GW18" i="29"/>
  <c r="GW24" i="29"/>
  <c r="GW26" i="29"/>
  <c r="GW23" i="29"/>
  <c r="GW21" i="29"/>
  <c r="GW25" i="29"/>
  <c r="GW19" i="29"/>
  <c r="GW27" i="29"/>
  <c r="GX12" i="29" l="1"/>
  <c r="GX13" i="29"/>
  <c r="GX15" i="29"/>
  <c r="GX16" i="29"/>
  <c r="GX11" i="29"/>
  <c r="GX14" i="29"/>
  <c r="GX22" i="29"/>
  <c r="GX18" i="29"/>
  <c r="GX23" i="29"/>
  <c r="GX26" i="29"/>
  <c r="GX24" i="29"/>
  <c r="GX21" i="29"/>
  <c r="GX27" i="29"/>
  <c r="GX19" i="29"/>
  <c r="GX25" i="29"/>
  <c r="GY12" i="29" l="1"/>
  <c r="GY13" i="29"/>
  <c r="GY15" i="29"/>
  <c r="GY16" i="29"/>
  <c r="GY11" i="29"/>
  <c r="GY14" i="29"/>
  <c r="GY19" i="29"/>
  <c r="GY23" i="29"/>
  <c r="GY22" i="29"/>
  <c r="GY18" i="29"/>
  <c r="GY26" i="29"/>
  <c r="GY24" i="29"/>
  <c r="GY21" i="29"/>
  <c r="GY27" i="29"/>
  <c r="GY25" i="29"/>
  <c r="GZ12" i="29" l="1"/>
  <c r="GZ13" i="29"/>
  <c r="GZ15" i="29"/>
  <c r="GZ16" i="29"/>
  <c r="GZ11" i="29"/>
  <c r="GZ14" i="29"/>
  <c r="GZ19" i="29"/>
  <c r="GZ23" i="29"/>
  <c r="GZ22" i="29"/>
  <c r="GZ26" i="29"/>
  <c r="GZ24" i="29"/>
  <c r="GZ21" i="29"/>
  <c r="GZ18" i="29"/>
  <c r="GZ27" i="29"/>
  <c r="GZ25" i="29"/>
  <c r="HA11" i="29" l="1"/>
  <c r="HA15" i="29"/>
  <c r="HA12" i="29"/>
  <c r="HA16" i="29"/>
  <c r="HA19" i="29"/>
  <c r="HA21" i="29"/>
  <c r="HA13" i="29"/>
  <c r="HA23" i="29"/>
  <c r="HA14" i="29"/>
  <c r="HA22" i="29"/>
  <c r="HA26" i="29"/>
  <c r="HA18" i="29"/>
  <c r="HA27" i="29"/>
  <c r="HA25" i="29"/>
  <c r="HA24" i="29"/>
  <c r="HB11" i="29" l="1"/>
  <c r="HB13" i="29"/>
  <c r="HB12" i="29"/>
  <c r="HB15" i="29"/>
  <c r="HB16" i="29"/>
  <c r="HB21" i="29"/>
  <c r="HB19" i="29"/>
  <c r="HB23" i="29"/>
  <c r="HB25" i="29"/>
  <c r="HB14" i="29"/>
  <c r="HB22" i="29"/>
  <c r="HB26" i="29"/>
  <c r="HB27" i="29"/>
  <c r="HB18" i="29"/>
  <c r="HB24" i="29"/>
  <c r="HC11" i="29" l="1"/>
  <c r="HC13" i="29"/>
  <c r="HC15" i="29"/>
  <c r="HC12" i="29"/>
  <c r="HC21" i="29"/>
  <c r="HC16" i="29"/>
  <c r="HC19" i="29"/>
  <c r="HC23" i="29"/>
  <c r="HC25" i="29"/>
  <c r="HC27" i="29"/>
  <c r="HC14" i="29"/>
  <c r="HC22" i="29"/>
  <c r="HC24" i="29"/>
  <c r="HC26" i="29"/>
  <c r="HC18" i="29"/>
  <c r="HD14" i="29" l="1"/>
  <c r="HD11" i="29"/>
  <c r="HD15" i="29"/>
  <c r="HD13" i="29"/>
  <c r="HD21" i="29"/>
  <c r="HD16" i="29"/>
  <c r="HD19" i="29"/>
  <c r="HD27" i="29"/>
  <c r="HD25" i="29"/>
  <c r="HD23" i="29"/>
  <c r="HD22" i="29"/>
  <c r="HD26" i="29"/>
  <c r="HD12" i="29"/>
  <c r="HD18" i="29"/>
  <c r="HD24" i="29"/>
  <c r="HE14" i="29" l="1"/>
  <c r="HE11" i="29"/>
  <c r="HE13" i="29"/>
  <c r="HE21" i="29"/>
  <c r="HE15" i="29"/>
  <c r="HE16" i="29"/>
  <c r="HE19" i="29"/>
  <c r="HE27" i="29"/>
  <c r="HE25" i="29"/>
  <c r="HE23" i="29"/>
  <c r="HE22" i="29"/>
  <c r="HE26" i="29"/>
  <c r="HE24" i="29"/>
  <c r="HE12" i="29"/>
  <c r="HE1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tc={856A13DA-42A1-4508-9F42-0189A6CA9992}</author>
  </authors>
  <commentList>
    <comment ref="C8" authorId="0" shapeId="0" xr:uid="{856A13DA-42A1-4508-9F42-0189A6CA9992}">
      <text>
        <t xml:space="preserve">[Threaded comment]
Your version of Excel allows you to read this threaded comment; however, any edits to it will get removed if the file is opened in a newer version of Excel. Learn more: https://go.microsoft.com/fwlink/?linkid=870924
Comment:
    Goes into the Edge Project
</t>
      </text>
    </comment>
  </commentList>
</comments>
</file>

<file path=xl/sharedStrings.xml><?xml version="1.0" encoding="utf-8"?>
<sst xmlns="http://schemas.openxmlformats.org/spreadsheetml/2006/main" count="859" uniqueCount="460">
  <si>
    <t>Revision History</t>
  </si>
  <si>
    <t>The Revision History table below provides a record of revisions made to this document. Updates are tracked by date the revisions were made, who made the change, a brief description of the changes made, and reason.</t>
  </si>
  <si>
    <t>Date</t>
  </si>
  <si>
    <r>
      <t>M</t>
    </r>
    <r>
      <rPr>
        <sz val="11"/>
        <color theme="0" tint="-0.249977111117893"/>
        <rFont val="Aptos"/>
        <family val="2"/>
      </rPr>
      <t>odifier</t>
    </r>
  </si>
  <si>
    <t>Change Description/ Reason</t>
  </si>
  <si>
    <t>Services COE</t>
  </si>
  <si>
    <t>Creation and Launch</t>
  </si>
  <si>
    <t xml:space="preserve">Added Training </t>
  </si>
  <si>
    <t>Track</t>
  </si>
  <si>
    <t>Status</t>
  </si>
  <si>
    <t>Priority</t>
  </si>
  <si>
    <t>Color</t>
  </si>
  <si>
    <t>Type</t>
  </si>
  <si>
    <t>Threshold Matrix</t>
  </si>
  <si>
    <t>Meaning / When to Use</t>
  </si>
  <si>
    <t>LMS</t>
  </si>
  <si>
    <t>New</t>
  </si>
  <si>
    <t>Low</t>
  </si>
  <si>
    <t>Red</t>
  </si>
  <si>
    <t>Action</t>
  </si>
  <si>
    <t>Green</t>
  </si>
  <si>
    <t>Issue or request just logged; not yet reviewed or assigned.</t>
  </si>
  <si>
    <t>EPM</t>
  </si>
  <si>
    <t>In Progress</t>
  </si>
  <si>
    <t>Medium</t>
  </si>
  <si>
    <t>Yellow</t>
  </si>
  <si>
    <t>Question</t>
  </si>
  <si>
    <t>In Review / Triage</t>
  </si>
  <si>
    <t>Under initial investigation to confirm scope, impact, or owner.</t>
  </si>
  <si>
    <t>SMP</t>
  </si>
  <si>
    <t>Closed</t>
  </si>
  <si>
    <t>High</t>
  </si>
  <si>
    <t>Issue</t>
  </si>
  <si>
    <t>Amber</t>
  </si>
  <si>
    <t>Actively being worked on by support or technical team.</t>
  </si>
  <si>
    <t>COMP</t>
  </si>
  <si>
    <t>Future/On Hold</t>
  </si>
  <si>
    <t>Risk</t>
  </si>
  <si>
    <t>Not Started</t>
  </si>
  <si>
    <t>Pending Vendor / External Team</t>
  </si>
  <si>
    <t>Waiting on third-party or vendor resolution (e.g., Cornerstone support, integration partner).</t>
  </si>
  <si>
    <t>Technical</t>
  </si>
  <si>
    <t>Pending Business Input</t>
  </si>
  <si>
    <t>Awaiting confirmation or additional info from business users.</t>
  </si>
  <si>
    <t>General</t>
  </si>
  <si>
    <t>Pending Validation / Testing</t>
  </si>
  <si>
    <t>Fix or configuration applied and awaiting UAT confirmation.</t>
  </si>
  <si>
    <t>Recruiting</t>
  </si>
  <si>
    <t>Resolved</t>
  </si>
  <si>
    <t>Issue fixed and verified internally, pending formal closure.</t>
  </si>
  <si>
    <t>Fully validated and signed off by business; no further action needed.</t>
  </si>
  <si>
    <t>Deferred / Backlog</t>
  </si>
  <si>
    <t>Not a go-live blocker; to be handled after hypercare period.</t>
  </si>
  <si>
    <t>Cancelled / Duplicate</t>
  </si>
  <si>
    <t>Invalid or duplicate entry; no action required.</t>
  </si>
  <si>
    <t>Yes</t>
  </si>
  <si>
    <t>On Hold</t>
  </si>
  <si>
    <t>Med</t>
  </si>
  <si>
    <t>No</t>
  </si>
  <si>
    <t xml:space="preserve">Action </t>
  </si>
  <si>
    <t xml:space="preserve">Decision </t>
  </si>
  <si>
    <t>Definition</t>
  </si>
  <si>
    <t xml:space="preserve">Low </t>
  </si>
  <si>
    <t>Task or issue has minimal impact on project objectives or deadlines. Can be scheduled after higher-priority items.</t>
  </si>
  <si>
    <t>Task or issue is important and should be addressed soon, but a short delay won’t critically impact the project.</t>
  </si>
  <si>
    <t>Task or issue is critical to the project’s success or timeline. Immediate attention is required.</t>
  </si>
  <si>
    <t>Portfolio Manager</t>
  </si>
  <si>
    <t>Yudhistir Saxena (ysaxena@csod.com)</t>
  </si>
  <si>
    <t>RAID LOG</t>
  </si>
  <si>
    <t>Total</t>
  </si>
  <si>
    <t>% Of Total</t>
  </si>
  <si>
    <t>Project Manager</t>
  </si>
  <si>
    <t>Ankit Garg (ankitgarg@csod.com)</t>
  </si>
  <si>
    <t>Complete</t>
  </si>
  <si>
    <t xml:space="preserve">Strategic Integration Manager </t>
  </si>
  <si>
    <t>Closed-Pending Review</t>
  </si>
  <si>
    <t xml:space="preserve">Business Consultant </t>
  </si>
  <si>
    <t>Technical Consultant</t>
  </si>
  <si>
    <t>Jeeva R ( jeeva.r@vithiit.com)</t>
  </si>
  <si>
    <t>Behind</t>
  </si>
  <si>
    <t>Overall Project Status</t>
  </si>
  <si>
    <t>Current Date</t>
  </si>
  <si>
    <t>Accomplishments This Period</t>
  </si>
  <si>
    <t>Goals / Actions Next Period</t>
  </si>
  <si>
    <t>Project Path</t>
  </si>
  <si>
    <t>Technical Projects</t>
  </si>
  <si>
    <t>Milestone Title</t>
  </si>
  <si>
    <t xml:space="preserve">Target Start </t>
  </si>
  <si>
    <t xml:space="preserve">Target End </t>
  </si>
  <si>
    <t xml:space="preserve">Completion </t>
  </si>
  <si>
    <t>Title</t>
  </si>
  <si>
    <t>Plan</t>
  </si>
  <si>
    <t>Feb 2nd Week</t>
  </si>
  <si>
    <t>Single Sign On (SSO) Pilot</t>
  </si>
  <si>
    <t>Advise</t>
  </si>
  <si>
    <t>Feb 3rd Week</t>
  </si>
  <si>
    <t>Master Data Load (MDLL) Pilot</t>
  </si>
  <si>
    <t>Design - Pilot / Sandbox</t>
  </si>
  <si>
    <t>March 1st Week</t>
  </si>
  <si>
    <t>Historical Data Load (HDLL) Pilot</t>
  </si>
  <si>
    <t>User Acceptance Testing (In Pilot/Sandbox)</t>
  </si>
  <si>
    <t>March 4th Week</t>
  </si>
  <si>
    <t>DKIM</t>
  </si>
  <si>
    <t>Launch - Production Build | Go Live Ready</t>
  </si>
  <si>
    <t>April 1st Week</t>
  </si>
  <si>
    <t>Single Sign On (SSO) Prod</t>
  </si>
  <si>
    <t>Hypercare</t>
  </si>
  <si>
    <t>April 3rd Week</t>
  </si>
  <si>
    <t>Master Data Load (MDLL) Prod</t>
  </si>
  <si>
    <t>Historical Data Load (HDLL) Prod</t>
  </si>
  <si>
    <t>Topic #</t>
  </si>
  <si>
    <t>Phase</t>
  </si>
  <si>
    <t>Session Date &amp; Time</t>
  </si>
  <si>
    <t>High End Hours</t>
  </si>
  <si>
    <t>Low End Hours</t>
  </si>
  <si>
    <t>Average Hours</t>
  </si>
  <si>
    <t>Attendees</t>
  </si>
  <si>
    <t>Topics</t>
  </si>
  <si>
    <t>Agenda</t>
  </si>
  <si>
    <t xml:space="preserve">Training Titles </t>
  </si>
  <si>
    <t>Notes</t>
  </si>
  <si>
    <t>Performance Implementation</t>
  </si>
  <si>
    <t>Cornerstone : PM, BC, TC, SC, PO
Customer: Executive Sponsor (ES), Project Manager (PM), System Administrator (SA), Technical Lead (TL), Change Manager (CM), Business Process Owners (BPO)</t>
  </si>
  <si>
    <t>Kickoff &amp; Team Introductions</t>
  </si>
  <si>
    <t>Implementation Kick-off Meeting to align stakeholders on project goals, scope, methodology, roles, timeline, and next steps, ensuring clarity and readiness for successful execution.</t>
  </si>
  <si>
    <t xml:space="preserve">Technical / Integration Projects </t>
  </si>
  <si>
    <t>[Insert Date]</t>
  </si>
  <si>
    <t>Cornerstone : TC
Customer: System Administrator (SA), Technical Lead (TL), Business Process Owners (BPO)</t>
  </si>
  <si>
    <t xml:space="preserve">Technical Kick Off </t>
  </si>
  <si>
    <t>Review technical projects in scope, confirm methodology, validate timelines, and align on goals to ensure clarity and consistency across all deliverables for Cornerstone and the Customer.</t>
  </si>
  <si>
    <t>Cornerstone : BC
Customer: System Administrator (SA), Business Process Owners (BPO)</t>
  </si>
  <si>
    <t>Discovery</t>
  </si>
  <si>
    <t>Review current and future state of processes</t>
  </si>
  <si>
    <t>Design</t>
  </si>
  <si>
    <t>Cornerstone: BC, SC
Customer: System Administrator (SA), Business Process Owners (BPO)</t>
  </si>
  <si>
    <t xml:space="preserve">Baseline System Review </t>
  </si>
  <si>
    <r>
      <t xml:space="preserve">BASELINE IN CUSTOMERS PILOT PORTAL 
</t>
    </r>
    <r>
      <rPr>
        <sz val="11"/>
        <color rgb="FF000000"/>
        <rFont val="Calibri"/>
        <family val="2"/>
        <scheme val="minor"/>
      </rPr>
      <t xml:space="preserve">Portal will reflect considerations and use cases learned during the discovery process. </t>
    </r>
  </si>
  <si>
    <t>Backend Configuration Review (Optional)</t>
  </si>
  <si>
    <t>Backend Configuration Review</t>
  </si>
  <si>
    <t>Review backend system configurations that control how the module functions, this step is optional, default settings would get applied if preference is to skip</t>
  </si>
  <si>
    <t>Admin Workshop 1</t>
  </si>
  <si>
    <t>Admin Workshop</t>
  </si>
  <si>
    <t>Supplementary Admin Workshops to the online module training, any usecases or queries can be discussed and clarified
Focus will be on admin creation of the Performance Sections, Tasks, Task Management</t>
  </si>
  <si>
    <t>https://cornerstoneu.csod.com/ui/lms-learning-details/app/curriculum/049ff173-ef40-4311-a8de-b8df7d9bed9a</t>
  </si>
  <si>
    <t>Admin Workshop 2</t>
  </si>
  <si>
    <t>Supplementary Admin Workshops to the online module training, any usecases or queries can be discussed and clarified
Focus will be on end user accessibility of Goals and Performance Tasks</t>
  </si>
  <si>
    <t>Reporting Workshop</t>
  </si>
  <si>
    <t>Supplementary Reporting Workshops, any usecases or queries can be discussed and clarified
Focus will be on standard reports and reporting 2.0 custom reports</t>
  </si>
  <si>
    <t>https://help.csod.com/help/csod_0/Content/User/Reporting_Overview.htm</t>
  </si>
  <si>
    <t>UAT</t>
  </si>
  <si>
    <t>UAT Planning Workshop</t>
  </si>
  <si>
    <t>Define UAT, review testing types, outcomes and logistics, uat prep</t>
  </si>
  <si>
    <t>UAT Check In Sessions</t>
  </si>
  <si>
    <t>Weekly sessions until UAT is complete 
Begin UAT, Conduct Testing, Review Issues Log, Questions, etc.</t>
  </si>
  <si>
    <t>Go-Live</t>
  </si>
  <si>
    <t>Deliver</t>
  </si>
  <si>
    <t>Go-Live Preparations</t>
  </si>
  <si>
    <t>Weekly sessions until Go-Live is complete 
Final modifications, queries etc.</t>
  </si>
  <si>
    <t>Post Go-Live</t>
  </si>
  <si>
    <t>Hypercare | Post Implementation Workshops</t>
  </si>
  <si>
    <t>Ongoing support provided for Post Go-Live issues for 2 weeks post Go-Live date</t>
  </si>
  <si>
    <t>Milestones</t>
  </si>
  <si>
    <t xml:space="preserve">Week </t>
  </si>
  <si>
    <t>Milestone/Task</t>
  </si>
  <si>
    <t>Session</t>
  </si>
  <si>
    <t>Agenda/Notes</t>
  </si>
  <si>
    <t>Project Initiation</t>
  </si>
  <si>
    <t>Review Organization Units &amp; User Concepts in Cornerstone</t>
  </si>
  <si>
    <t>Schedule Recurring Workshops</t>
  </si>
  <si>
    <t>Schedule recurring weekly calls and other in scope workshops</t>
  </si>
  <si>
    <t xml:space="preserve">Core &amp; Data Configurations </t>
  </si>
  <si>
    <t>OU/User Workshop</t>
  </si>
  <si>
    <r>
      <t>ORGANIZATIONAL UNITS</t>
    </r>
    <r>
      <rPr>
        <sz val="10"/>
        <color rgb="FF000000"/>
        <rFont val="Arial Unicode MS"/>
        <family val="2"/>
      </rPr>
      <t xml:space="preserve">
Review Organization Units &amp; User Concepts in Cornerstone</t>
    </r>
  </si>
  <si>
    <t>Welcome Page/Learner Home/Branding</t>
  </si>
  <si>
    <r>
      <t>SYSTEM BRANDING</t>
    </r>
    <r>
      <rPr>
        <sz val="10"/>
        <color rgb="FF000000"/>
        <rFont val="Arial Unicode MS"/>
        <family val="2"/>
      </rPr>
      <t xml:space="preserve">
Introduction to system brand features</t>
    </r>
  </si>
  <si>
    <t>Navigation Tabs and Links</t>
  </si>
  <si>
    <r>
      <t>CORE CONFIGURATION</t>
    </r>
    <r>
      <rPr>
        <sz val="10"/>
        <color rgb="FF000000"/>
        <rFont val="Arial Unicode MS"/>
        <family val="2"/>
      </rPr>
      <t xml:space="preserve">
Navigate through system concepts and core preference settings</t>
    </r>
  </si>
  <si>
    <t>Universal Profile</t>
  </si>
  <si>
    <r>
      <t>UNIVERSAL PROFILE</t>
    </r>
    <r>
      <rPr>
        <sz val="10"/>
        <color rgb="FF000000"/>
        <rFont val="Arial Unicode MS"/>
        <family val="2"/>
      </rPr>
      <t xml:space="preserve">
Navigate through universal profile preferences and configure decisions</t>
    </r>
  </si>
  <si>
    <t>Mobile</t>
  </si>
  <si>
    <r>
      <t>MOBILE</t>
    </r>
    <r>
      <rPr>
        <sz val="10"/>
        <color rgb="FF000000"/>
        <rFont val="Arial Unicode MS"/>
        <family val="2"/>
      </rPr>
      <t xml:space="preserve">
Review Mobile Preferences and Configurations</t>
    </r>
  </si>
  <si>
    <t>Skills and Capabilities</t>
  </si>
  <si>
    <r>
      <t xml:space="preserve">Skills &amp; Capabilities </t>
    </r>
    <r>
      <rPr>
        <sz val="10"/>
        <rFont val="Arial Unicode MS"/>
        <family val="2"/>
      </rPr>
      <t xml:space="preserve">
Review Capability Models, Custom Skills and People Matrix
</t>
    </r>
    <r>
      <rPr>
        <sz val="10"/>
        <color rgb="FFFF0000"/>
        <rFont val="Arial Unicode MS"/>
      </rPr>
      <t xml:space="preserve">This topic cannot be covered unti there is valid OU and User Data Loaded to the portal. </t>
    </r>
  </si>
  <si>
    <t>Consulting: Sprint 1</t>
  </si>
  <si>
    <t>Configure Goals</t>
  </si>
  <si>
    <r>
      <t>GOALS</t>
    </r>
    <r>
      <rPr>
        <sz val="10"/>
        <color rgb="FF000000"/>
        <rFont val="Arial Unicode MS"/>
        <family val="2"/>
      </rPr>
      <t xml:space="preserve">
Goal Prefernces, Goal Configuration, Goals Library and Goals Perspective/Categories</t>
    </r>
  </si>
  <si>
    <t>Build Comptency Bank, Models and Assessments</t>
  </si>
  <si>
    <r>
      <t>PERFORMANCE MANAGEMENT</t>
    </r>
    <r>
      <rPr>
        <sz val="10"/>
        <color rgb="FF000000"/>
        <rFont val="Arial Unicode MS"/>
        <family val="2"/>
      </rPr>
      <t xml:space="preserve">
Comptency Assessmetn Bank, Competency Assessment Models, Competency Assessment Tasks</t>
    </r>
  </si>
  <si>
    <t>Create Observation Checklists</t>
  </si>
  <si>
    <r>
      <t>PERFORMANCE MANAGEMENT</t>
    </r>
    <r>
      <rPr>
        <sz val="10"/>
        <color rgb="FF000000"/>
        <rFont val="Arial Unicode MS"/>
        <family val="2"/>
      </rPr>
      <t xml:space="preserve">
Create and manage performance observation checklists</t>
    </r>
  </si>
  <si>
    <t>Configure Development Plans</t>
  </si>
  <si>
    <r>
      <t>DEVELOPMENT PLANS</t>
    </r>
    <r>
      <rPr>
        <sz val="10"/>
        <color rgb="FF000000"/>
        <rFont val="Arial Unicode MS"/>
        <family val="2"/>
      </rPr>
      <t xml:space="preserve">
Activity Types, Custom Fields, Development Plan Preferences</t>
    </r>
    <r>
      <rPr>
        <b/>
        <sz val="10"/>
        <color rgb="FF000000"/>
        <rFont val="Arial Unicode MS"/>
        <family val="2"/>
      </rPr>
      <t xml:space="preserve">, </t>
    </r>
    <r>
      <rPr>
        <sz val="10"/>
        <color rgb="FF000000"/>
        <rFont val="Arial Unicode MS"/>
        <family val="2"/>
      </rPr>
      <t>Objective Categories, Plan Categories, Plan Templates</t>
    </r>
  </si>
  <si>
    <t>Update Performance Review Print View</t>
  </si>
  <si>
    <r>
      <t>PERFORMANCE REVIEWS</t>
    </r>
    <r>
      <rPr>
        <sz val="10"/>
        <color rgb="FF000000"/>
        <rFont val="Arial Unicode MS"/>
        <family val="2"/>
      </rPr>
      <t xml:space="preserve">
Set Printable View</t>
    </r>
  </si>
  <si>
    <t>Consulting: Sprint 2</t>
  </si>
  <si>
    <t>Create Performance Review Sections and Define Rating Scale</t>
  </si>
  <si>
    <r>
      <t>PERFORMANCE REVIEWS</t>
    </r>
    <r>
      <rPr>
        <sz val="10"/>
        <color rgb="FF000000"/>
        <rFont val="Arial Unicode MS"/>
        <family val="2"/>
      </rPr>
      <t xml:space="preserve">
Form Sections, Comment Assistant </t>
    </r>
  </si>
  <si>
    <t>Create Performance Review Tasks: Standard</t>
  </si>
  <si>
    <r>
      <t>PERFORMANCE REVIEWS</t>
    </r>
    <r>
      <rPr>
        <sz val="10"/>
        <color rgb="FF000000"/>
        <rFont val="Arial Unicode MS"/>
        <family val="2"/>
      </rPr>
      <t xml:space="preserve">
Task Categories and Standard Tasks </t>
    </r>
  </si>
  <si>
    <t>Create Performance Review Tasks: Off Cycle</t>
  </si>
  <si>
    <r>
      <t>PERFORMANCE REVIEWS</t>
    </r>
    <r>
      <rPr>
        <sz val="10"/>
        <color rgb="FF000000"/>
        <rFont val="Arial Unicode MS"/>
        <family val="2"/>
      </rPr>
      <t xml:space="preserve">
Off Cycle Tasks </t>
    </r>
  </si>
  <si>
    <t>Check-Ins</t>
  </si>
  <si>
    <r>
      <t>CHECK-INS</t>
    </r>
    <r>
      <rPr>
        <sz val="10"/>
        <color rgb="FF000000"/>
        <rFont val="Arial Unicode MS"/>
        <family val="2"/>
      </rPr>
      <t xml:space="preserve">
Check-Ins Template and Home Page Customization </t>
    </r>
  </si>
  <si>
    <t>Feedback</t>
  </si>
  <si>
    <r>
      <t>CONFIGURATION TOOLS &gt; CORE FUNCTIONS &gt; UNIVERSAL PROFILE &gt; GENERAL PREFERENCES</t>
    </r>
    <r>
      <rPr>
        <sz val="10"/>
        <color rgb="FF000000"/>
        <rFont val="Arial Unicode MS"/>
        <family val="2"/>
      </rPr>
      <t xml:space="preserve">
Define preferences for Feedback, by Division</t>
    </r>
  </si>
  <si>
    <t>Consulting: Sprint 3</t>
  </si>
  <si>
    <t>Emails</t>
  </si>
  <si>
    <t>CORE FUNCTIONS EMAIL MANAGEMENT / EMAIL DIGEST MANAGMENT
Create and manage email content and settings for activity-driven messages. Create and manage email digest content and settings for periodic messages</t>
  </si>
  <si>
    <t>Security Roles</t>
  </si>
  <si>
    <t xml:space="preserve">CORE FUNCTIONS / SECURITY ROLE ADMINISTRATION </t>
  </si>
  <si>
    <t xml:space="preserve">Reporting </t>
  </si>
  <si>
    <t>REPORTS / STANDARD / REPORTING 2.0 / DASHBOARDS</t>
  </si>
  <si>
    <t>Validation and Testing</t>
  </si>
  <si>
    <t>Kickoff &amp; Process Review</t>
  </si>
  <si>
    <t xml:space="preserve">Kick Off UAT and review Scripts </t>
  </si>
  <si>
    <t>Active Testing</t>
  </si>
  <si>
    <t>Begin UAT, Conduct Testing, Review Issues Log, Questions, etc.</t>
  </si>
  <si>
    <t>Testing Completion</t>
  </si>
  <si>
    <t>• Execute communication/marketing plan
• Review Configuration Checklist / Open Items
• Review System Readiness for Go-live (Production Configuration/Completeness)</t>
  </si>
  <si>
    <t>Project Wrap Up</t>
  </si>
  <si>
    <t>Go-Live Resource Review</t>
  </si>
  <si>
    <t>Implementation to Support Transition</t>
  </si>
  <si>
    <t>Project Complete</t>
  </si>
  <si>
    <t>Task</t>
  </si>
  <si>
    <t>Description</t>
  </si>
  <si>
    <t>Duration</t>
  </si>
  <si>
    <t>Planned Start Date</t>
  </si>
  <si>
    <t>Planned End Date</t>
  </si>
  <si>
    <t>Actual Start Date</t>
  </si>
  <si>
    <t>Actual End Date</t>
  </si>
  <si>
    <t>Owner</t>
  </si>
  <si>
    <t>Yes Prep Comments</t>
  </si>
  <si>
    <t>All</t>
  </si>
  <si>
    <t>Project Kick Off</t>
  </si>
  <si>
    <t>Officially start the project with all stakeholders; review scope, roles, and timelines.</t>
  </si>
  <si>
    <t>Discovery - Questionnaire</t>
  </si>
  <si>
    <t>Gather initial inputs on current performance processes and expectations.</t>
  </si>
  <si>
    <t>Success Centre Access and Trainings Review</t>
  </si>
  <si>
    <t>Ensure client has access to Cornerstone resources and training materials.</t>
  </si>
  <si>
    <t>Customer</t>
  </si>
  <si>
    <t>Share updated questionnaire</t>
  </si>
  <si>
    <t>Customer will complete quiestionnaire and provide any document to help understand current processes and needs</t>
  </si>
  <si>
    <t>To be started</t>
  </si>
  <si>
    <t>Discovery Workshop Session</t>
  </si>
  <si>
    <t>Discuss business needs and validate requirements for Performance setup.</t>
  </si>
  <si>
    <t>Business Consultant</t>
  </si>
  <si>
    <t>OU Work shop</t>
  </si>
  <si>
    <t>Organisation Unit Workshop</t>
  </si>
  <si>
    <t>Technical project Kick-off</t>
  </si>
  <si>
    <t>Align IT and integration teams on environment setup, SSO, and data migration.</t>
  </si>
  <si>
    <t>Schedule Weekly cadence</t>
  </si>
  <si>
    <t>Set up recurring weekly project status meetings</t>
  </si>
  <si>
    <t>Update and baseline Project Plan</t>
  </si>
  <si>
    <t>Finalize and baseline the project plan with updated dates and milestones.</t>
  </si>
  <si>
    <t>Share updated Business usecases</t>
  </si>
  <si>
    <t>Share finalized business workflows and processes for confirmation.</t>
  </si>
  <si>
    <t>Build Prototype on Pilot</t>
  </si>
  <si>
    <t>Configure initial setup in the Pilot environment based on agreed design.</t>
  </si>
  <si>
    <t>Demo on Pilot</t>
  </si>
  <si>
    <t>Demonstrate prototype to the client for feedback and approval.</t>
  </si>
  <si>
    <t>Technical Consulting Sessions</t>
  </si>
  <si>
    <t>Conduct sessions to resolve technical or complex configuration needs.</t>
  </si>
  <si>
    <t>Sample Data Migration Files</t>
  </si>
  <si>
    <t>Share sample data templates to test in data.</t>
  </si>
  <si>
    <t>Review Sample Data Migration Files</t>
  </si>
  <si>
    <t>Validate sample data with customer for accuracy and completeness.</t>
  </si>
  <si>
    <t>Upload Sample Historical data to the platform</t>
  </si>
  <si>
    <t>Load reviewed sample data into Pilot for testing.</t>
  </si>
  <si>
    <t>Admin Training Session 1</t>
  </si>
  <si>
    <t>Conduct training sessions for client admins covering setup, workflows, performance cycles, reports, and troubleshooting.</t>
  </si>
  <si>
    <t>Customer/Business Consultant</t>
  </si>
  <si>
    <t>Admin Training Session 2</t>
  </si>
  <si>
    <t>Admin Training Session 3</t>
  </si>
  <si>
    <t>Admin Training Session 4</t>
  </si>
  <si>
    <t>Share sample test scripts</t>
  </si>
  <si>
    <t>Share draft UAT scripts covering key test scenarios.</t>
  </si>
  <si>
    <t>UAT Kick-off</t>
  </si>
  <si>
    <t>Start UAT phase; align on scope, roles, and timelines.</t>
  </si>
  <si>
    <t>UAT- Round 1</t>
  </si>
  <si>
    <t>First round of user acceptance testing; record and fix issues.</t>
  </si>
  <si>
    <t>UAT- Round 2</t>
  </si>
  <si>
    <t>Retest fixed issues and validate final scenarios.</t>
  </si>
  <si>
    <t>UAT Sign-off</t>
  </si>
  <si>
    <t>Obtain client approval that testing is complete and successful.</t>
  </si>
  <si>
    <t>Data Migration Pilot signoff</t>
  </si>
  <si>
    <t>Obtain client approval that data migration is complete and successful.</t>
  </si>
  <si>
    <t>Final Data Migration to Performance 1</t>
  </si>
  <si>
    <t>Migrate final validated data to Production.</t>
  </si>
  <si>
    <t>Signoff Data Migration to Performance</t>
  </si>
  <si>
    <t>Confirm and approve that final data migration is successful.</t>
  </si>
  <si>
    <t>Production Configuration</t>
  </si>
  <si>
    <t>Apply any last configuration updates in Production environment.</t>
  </si>
  <si>
    <t>Final Review on Production</t>
  </si>
  <si>
    <t>Conduct a final validation of Production setup.</t>
  </si>
  <si>
    <t>Launch the system for all users and transition to post-go-live support.</t>
  </si>
  <si>
    <t>[Customer] Action Items Log</t>
  </si>
  <si>
    <t xml:space="preserve">Last Updated: </t>
  </si>
  <si>
    <t>ID</t>
  </si>
  <si>
    <t>Date Logged</t>
  </si>
  <si>
    <t>Specific Description</t>
  </si>
  <si>
    <t xml:space="preserve">Risk | Issue | Action | Decision </t>
  </si>
  <si>
    <t>Go Live Blocker</t>
  </si>
  <si>
    <t>Due Date</t>
  </si>
  <si>
    <t>Closed Date</t>
  </si>
  <si>
    <t>[Customer Name]</t>
  </si>
  <si>
    <t>September</t>
  </si>
  <si>
    <t>October</t>
  </si>
  <si>
    <t>November</t>
  </si>
  <si>
    <t>December</t>
  </si>
  <si>
    <t xml:space="preserve">Week 1 </t>
  </si>
  <si>
    <t>Week 2</t>
  </si>
  <si>
    <t>Week 3</t>
  </si>
  <si>
    <t xml:space="preserve">Week 4 </t>
  </si>
  <si>
    <t>Week 5</t>
  </si>
  <si>
    <t>Milestone description</t>
  </si>
  <si>
    <t>Progress</t>
  </si>
  <si>
    <t>Start</t>
  </si>
  <si>
    <t>Days</t>
  </si>
  <si>
    <t xml:space="preserve">Business Proces Alignment </t>
  </si>
  <si>
    <t>Learning Management</t>
  </si>
  <si>
    <t xml:space="preserve">Learning Experience </t>
  </si>
  <si>
    <t>Extended Enterprise</t>
  </si>
  <si>
    <t>Guide</t>
  </si>
  <si>
    <t>Certifications</t>
  </si>
  <si>
    <t>Connect</t>
  </si>
  <si>
    <t>Competencies</t>
  </si>
  <si>
    <t>SSO</t>
  </si>
  <si>
    <t>Welcome Page Template</t>
  </si>
  <si>
    <t>HDLL</t>
  </si>
  <si>
    <t>MDLL</t>
  </si>
  <si>
    <t>ODF</t>
  </si>
  <si>
    <t>OSSO</t>
  </si>
  <si>
    <t>Web Services (APIs)</t>
  </si>
  <si>
    <t xml:space="preserve">Data Connector </t>
  </si>
  <si>
    <t>April</t>
  </si>
  <si>
    <t>May</t>
  </si>
  <si>
    <t>June</t>
  </si>
  <si>
    <t>July</t>
  </si>
  <si>
    <t>Aug</t>
  </si>
  <si>
    <t>Sept</t>
  </si>
  <si>
    <t>Oct</t>
  </si>
  <si>
    <t>21-25</t>
  </si>
  <si>
    <t>28-2</t>
  </si>
  <si>
    <t>5-9</t>
  </si>
  <si>
    <t>12-16</t>
  </si>
  <si>
    <t>19-23</t>
  </si>
  <si>
    <t>26-30</t>
  </si>
  <si>
    <t>2-6</t>
  </si>
  <si>
    <t>9-13</t>
  </si>
  <si>
    <t>16-20</t>
  </si>
  <si>
    <t>23-27</t>
  </si>
  <si>
    <t>30-4</t>
  </si>
  <si>
    <t>7-11</t>
  </si>
  <si>
    <t>14-18</t>
  </si>
  <si>
    <t>28-1</t>
  </si>
  <si>
    <t>4-8</t>
  </si>
  <si>
    <t>11-15</t>
  </si>
  <si>
    <t>18-22</t>
  </si>
  <si>
    <t>25-29</t>
  </si>
  <si>
    <t>1-5</t>
  </si>
  <si>
    <t>8-12</t>
  </si>
  <si>
    <t>15-19</t>
  </si>
  <si>
    <t>22-26</t>
  </si>
  <si>
    <t>29-3</t>
  </si>
  <si>
    <t>6-10</t>
  </si>
  <si>
    <t>13-17</t>
  </si>
  <si>
    <t>20-24</t>
  </si>
  <si>
    <t>27-31</t>
  </si>
  <si>
    <t xml:space="preserve">Business Process Alignment </t>
  </si>
  <si>
    <t>BPA Workshops</t>
  </si>
  <si>
    <t xml:space="preserve">Deliver BPA Report </t>
  </si>
  <si>
    <t>Mattress Firm to Review</t>
  </si>
  <si>
    <t>Inbound Data Feed - OU/Users (IDF) Connector</t>
  </si>
  <si>
    <t>Configure Pilot</t>
  </si>
  <si>
    <t>Validate Pilot</t>
  </si>
  <si>
    <t>Configure Production</t>
  </si>
  <si>
    <t>Validate Production</t>
  </si>
  <si>
    <t>Master Data Load - Learning (MDLL)</t>
  </si>
  <si>
    <t>Configure in Production</t>
  </si>
  <si>
    <t>Consulting - Single Sign On - Standard (SSO) Connector</t>
  </si>
  <si>
    <t xml:space="preserve">Configure in Pilot </t>
  </si>
  <si>
    <t xml:space="preserve">Test in Pilot </t>
  </si>
  <si>
    <t>Test in Production</t>
  </si>
  <si>
    <t>Open to Employees</t>
  </si>
  <si>
    <t>Learning Experience Data Connection – CSX</t>
  </si>
  <si>
    <t>Configure Connection</t>
  </si>
  <si>
    <t>Set Filters and Test</t>
  </si>
  <si>
    <t>Historical Data Load - Learning (HDLL)</t>
  </si>
  <si>
    <t xml:space="preserve">Files to Pilot and Validate </t>
  </si>
  <si>
    <t>Files to Prod</t>
  </si>
  <si>
    <t xml:space="preserve">Validate </t>
  </si>
  <si>
    <t>Cornerstone Learning Experience Enterprise Implementation</t>
  </si>
  <si>
    <t>Build Prototype</t>
  </si>
  <si>
    <t>BPA&gt;Imp Transition/
Deliver Prototype</t>
  </si>
  <si>
    <t>BC on PTO</t>
  </si>
  <si>
    <t xml:space="preserve">Proof of Concept Prep and Delivery </t>
  </si>
  <si>
    <t xml:space="preserve">System Go-live Ready </t>
  </si>
  <si>
    <t xml:space="preserve">Go-Live </t>
  </si>
  <si>
    <t>Learning Implementation - Enterprise</t>
  </si>
  <si>
    <t>Competency Management Implementation - Enterprise</t>
  </si>
  <si>
    <t>Certification Management Implementation - Enterprise</t>
  </si>
  <si>
    <t>Learning Data Migration SABA</t>
  </si>
  <si>
    <t>Pull Extract</t>
  </si>
  <si>
    <t>Governance Part B</t>
  </si>
  <si>
    <t xml:space="preserve">Optional: </t>
  </si>
  <si>
    <t>Custom Login Page (CLP)</t>
  </si>
  <si>
    <t>Validate in Pilot</t>
  </si>
  <si>
    <t>Validate in Production</t>
  </si>
  <si>
    <t>Analytics Plus</t>
  </si>
  <si>
    <t>Widget Extension</t>
  </si>
  <si>
    <t>Welcome Page Template Design Package</t>
  </si>
  <si>
    <t xml:space="preserve">Copy Down </t>
  </si>
  <si>
    <t>Training Update freeze in Saba EOW</t>
  </si>
  <si>
    <t>Legend:</t>
  </si>
  <si>
    <t>On track</t>
  </si>
  <si>
    <t>Low risk</t>
  </si>
  <si>
    <t>Med risk</t>
  </si>
  <si>
    <t>High risk</t>
  </si>
  <si>
    <t>Unassigned</t>
  </si>
  <si>
    <t>Project start date:</t>
  </si>
  <si>
    <t xml:space="preserve">November </t>
  </si>
  <si>
    <t xml:space="preserve">January </t>
  </si>
  <si>
    <t xml:space="preserve">February </t>
  </si>
  <si>
    <t xml:space="preserve">March </t>
  </si>
  <si>
    <t>S</t>
  </si>
  <si>
    <t>M</t>
  </si>
  <si>
    <t>T</t>
  </si>
  <si>
    <t>W</t>
  </si>
  <si>
    <t>TH</t>
  </si>
  <si>
    <t>F</t>
  </si>
  <si>
    <t>Category</t>
  </si>
  <si>
    <t xml:space="preserve">Learn </t>
  </si>
  <si>
    <t>On Track</t>
  </si>
  <si>
    <t xml:space="preserve">Design </t>
  </si>
  <si>
    <t>Launch</t>
  </si>
  <si>
    <t xml:space="preserve">Inbound Data Feed </t>
  </si>
  <si>
    <t>Pilot</t>
  </si>
  <si>
    <t>Production</t>
  </si>
  <si>
    <t xml:space="preserve">SSO </t>
  </si>
  <si>
    <t>MDL</t>
  </si>
  <si>
    <t xml:space="preserve">HDL </t>
  </si>
  <si>
    <t>Low Risk</t>
  </si>
  <si>
    <t>To add more data, Insert new rows ABOVE this one</t>
  </si>
  <si>
    <t>Hypercare Log</t>
  </si>
  <si>
    <t>Hypercare Start Date</t>
  </si>
  <si>
    <t>[enter date]</t>
  </si>
  <si>
    <t>Hyper Care End Date</t>
  </si>
  <si>
    <t xml:space="preserve">[enter date] </t>
  </si>
  <si>
    <t>HC ID</t>
  </si>
  <si>
    <t>Logged By</t>
  </si>
  <si>
    <t xml:space="preserve">Issue  </t>
  </si>
  <si>
    <t>Description Details</t>
  </si>
  <si>
    <t xml:space="preserve">Priority </t>
  </si>
  <si>
    <t>Go live Impact</t>
  </si>
  <si>
    <t>Assigned to</t>
  </si>
  <si>
    <t xml:space="preserve">Status </t>
  </si>
  <si>
    <t xml:space="preserve">Resolution Summary </t>
  </si>
  <si>
    <t>Resolution Date</t>
  </si>
  <si>
    <t>Validated By</t>
  </si>
  <si>
    <t>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</si>
</sst>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yy;@"/>
    <numFmt numFmtId="165" formatCode="[$-F800]dddd\,\ mmmm\ dd\,\ yyyy"/>
    <numFmt numFmtId="166" formatCode="[$-409]d\-mmm\-yy;@"/>
    <numFmt numFmtId="167" formatCode="d"/>
    <numFmt numFmtId="168" formatCode="[$-409]h:mm\ AM/PM;@"/>
    <numFmt numFmtId="169" formatCode="[&lt;=9999999]###\-####;\(###\)\ ###\-####"/>
  </numFmts>
  <fonts count="89">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tint="0.24994659260841701"/>
      <name val="Arial"/>
      <family val="2"/>
    </font>
    <font>
      <sz val="11"/>
      <color theme="1"/>
      <name val="Calibri"/>
      <family val="2"/>
      <scheme val="minor"/>
    </font>
    <font>
      <b/>
      <sz val="11"/>
      <color theme="0"/>
      <name val="Calibri"/>
      <family val="2"/>
      <scheme val="minor"/>
    </font>
    <font>
      <sz val="10"/>
      <name val="Arial"/>
      <family val="2"/>
    </font>
    <font>
      <sz val="8"/>
      <name val="Arial"/>
      <family val="2"/>
    </font>
    <font>
      <b/>
      <sz val="9"/>
      <color theme="1"/>
      <name val="Calibri"/>
      <family val="2"/>
      <scheme val="minor"/>
    </font>
    <font>
      <sz val="11"/>
      <color rgb="FF9C6500"/>
      <name val="Calibri"/>
      <family val="2"/>
      <scheme val="minor"/>
    </font>
    <font>
      <sz val="11"/>
      <color rgb="FF006100"/>
      <name val="Calibri"/>
      <family val="2"/>
      <scheme val="minor"/>
    </font>
    <font>
      <u/>
      <sz val="11"/>
      <color theme="10"/>
      <name val="Calibri"/>
      <family val="2"/>
      <scheme val="minor"/>
    </font>
    <font>
      <sz val="10"/>
      <color rgb="FF000000"/>
      <name val="Arial Unicode MS"/>
      <family val="2"/>
    </font>
    <font>
      <sz val="10"/>
      <color theme="1"/>
      <name val="Arial Unicode MS"/>
      <family val="2"/>
    </font>
    <font>
      <sz val="12"/>
      <color theme="1"/>
      <name val="Calibri"/>
      <family val="2"/>
      <scheme val="minor"/>
    </font>
    <font>
      <sz val="12"/>
      <name val="Calibri"/>
      <family val="2"/>
      <scheme val="minor"/>
    </font>
    <font>
      <b/>
      <sz val="12"/>
      <color theme="0"/>
      <name val="Calibri"/>
      <family val="2"/>
      <scheme val="minor"/>
    </font>
    <font>
      <b/>
      <sz val="12"/>
      <name val="Calibri"/>
      <family val="2"/>
      <scheme val="minor"/>
    </font>
    <font>
      <b/>
      <sz val="12"/>
      <color theme="1"/>
      <name val="Calibri"/>
      <family val="2"/>
      <scheme val="minor"/>
    </font>
    <font>
      <b/>
      <sz val="12"/>
      <color theme="1" tint="0.34998626667073579"/>
      <name val="Calibri"/>
      <family val="2"/>
      <scheme val="minor"/>
    </font>
    <font>
      <b/>
      <sz val="12"/>
      <color rgb="FFFF0000"/>
      <name val="Calibri"/>
      <family val="2"/>
      <scheme val="minor"/>
    </font>
    <font>
      <b/>
      <sz val="12"/>
      <color theme="9" tint="-0.499984740745262"/>
      <name val="Calibri"/>
      <family val="2"/>
      <scheme val="minor"/>
    </font>
    <font>
      <b/>
      <sz val="12"/>
      <color theme="7" tint="-0.499984740745262"/>
      <name val="Calibri"/>
      <family val="2"/>
      <scheme val="minor"/>
    </font>
    <font>
      <b/>
      <sz val="12"/>
      <color rgb="FF002060"/>
      <name val="Calibri"/>
      <family val="2"/>
      <scheme val="minor"/>
    </font>
    <font>
      <b/>
      <sz val="12"/>
      <color rgb="FF006100"/>
      <name val="Calibri"/>
      <family val="2"/>
      <scheme val="minor"/>
    </font>
    <font>
      <b/>
      <sz val="12"/>
      <color rgb="FF9C6500"/>
      <name val="Calibri"/>
      <family val="2"/>
      <scheme val="minor"/>
    </font>
    <font>
      <i/>
      <sz val="10"/>
      <color theme="0"/>
      <name val="Calibri"/>
      <family val="2"/>
      <scheme val="minor"/>
    </font>
    <font>
      <sz val="11"/>
      <color rgb="FF000000"/>
      <name val="Calibri"/>
      <family val="2"/>
      <scheme val="minor"/>
    </font>
    <font>
      <b/>
      <sz val="11"/>
      <name val="Calibri"/>
      <family val="2"/>
      <scheme val="minor"/>
    </font>
    <font>
      <sz val="10"/>
      <name val="Mangal"/>
      <family val="2"/>
    </font>
    <font>
      <sz val="10"/>
      <color theme="1"/>
      <name val="Calibri"/>
      <family val="2"/>
      <scheme val="minor"/>
    </font>
    <font>
      <b/>
      <sz val="10"/>
      <color theme="1" tint="0.499984740745262"/>
      <name val="Aptos Light"/>
      <family val="2"/>
    </font>
    <font>
      <sz val="10"/>
      <color theme="1"/>
      <name val="Aptos Light"/>
      <family val="2"/>
    </font>
    <font>
      <b/>
      <sz val="10"/>
      <color theme="0" tint="-0.499984740745262"/>
      <name val="Aptos Light"/>
      <family val="2"/>
    </font>
    <font>
      <b/>
      <sz val="10"/>
      <color rgb="FFFFFFFF"/>
      <name val="Aptos Light"/>
      <family val="2"/>
    </font>
    <font>
      <b/>
      <sz val="10"/>
      <color rgb="FF006100"/>
      <name val="Aptos Light"/>
      <family val="2"/>
    </font>
    <font>
      <b/>
      <sz val="10"/>
      <color theme="0"/>
      <name val="Aptos Light"/>
      <family val="2"/>
    </font>
    <font>
      <sz val="10"/>
      <color rgb="FF000000"/>
      <name val="Aptos Light"/>
      <family val="2"/>
    </font>
    <font>
      <b/>
      <sz val="10"/>
      <color theme="0"/>
      <name val="Calibri"/>
      <family val="2"/>
      <scheme val="minor"/>
    </font>
    <font>
      <sz val="10"/>
      <name val="Calibri"/>
      <family val="2"/>
      <scheme val="minor"/>
    </font>
    <font>
      <sz val="10"/>
      <color rgb="FFFA4616"/>
      <name val="Calibri"/>
      <family val="2"/>
      <scheme val="minor"/>
    </font>
    <font>
      <u/>
      <sz val="10"/>
      <color theme="10"/>
      <name val="Calibri"/>
      <family val="2"/>
      <scheme val="minor"/>
    </font>
    <font>
      <sz val="11"/>
      <color theme="0"/>
      <name val="Calibri"/>
      <family val="2"/>
      <scheme val="minor"/>
    </font>
    <font>
      <sz val="11"/>
      <name val="Calibri"/>
      <family val="2"/>
      <scheme val="minor"/>
    </font>
    <font>
      <sz val="16"/>
      <color theme="1"/>
      <name val="Calibri"/>
      <family val="2"/>
      <scheme val="minor"/>
    </font>
    <font>
      <b/>
      <sz val="16"/>
      <name val="Calibri"/>
      <family val="2"/>
      <scheme val="minor"/>
    </font>
    <font>
      <b/>
      <sz val="22"/>
      <color theme="1" tint="0.34998626667073579"/>
      <name val="Calibri Light"/>
      <family val="2"/>
      <scheme val="major"/>
    </font>
    <font>
      <b/>
      <sz val="16"/>
      <name val="Calibri Light"/>
      <family val="2"/>
      <scheme val="major"/>
    </font>
    <font>
      <sz val="14"/>
      <color theme="1"/>
      <name val="Calibri"/>
      <family val="2"/>
      <scheme val="minor"/>
    </font>
    <font>
      <sz val="14"/>
      <name val="Calibri"/>
      <family val="2"/>
      <scheme val="minor"/>
    </font>
    <font>
      <b/>
      <sz val="22"/>
      <name val="Calibri Light"/>
      <family val="2"/>
      <scheme val="major"/>
    </font>
    <font>
      <b/>
      <sz val="26"/>
      <name val="Calibri Light"/>
      <family val="2"/>
      <scheme val="major"/>
    </font>
    <font>
      <b/>
      <sz val="14"/>
      <color theme="8" tint="-0.499984740745262"/>
      <name val="Calibri"/>
      <family val="2"/>
      <scheme val="minor"/>
    </font>
    <font>
      <b/>
      <sz val="14"/>
      <name val="Calibri"/>
      <family val="2"/>
      <scheme val="minor"/>
    </font>
    <font>
      <b/>
      <sz val="14"/>
      <color theme="0"/>
      <name val="Calibri"/>
      <family val="2"/>
      <scheme val="minor"/>
    </font>
    <font>
      <b/>
      <sz val="20"/>
      <name val="Calibri Light"/>
      <family val="2"/>
      <scheme val="major"/>
    </font>
    <font>
      <b/>
      <sz val="14"/>
      <color theme="6" tint="-0.499984740745262"/>
      <name val="Calibri"/>
      <family val="2"/>
      <scheme val="minor"/>
    </font>
    <font>
      <sz val="11"/>
      <color theme="6" tint="-0.499984740745262"/>
      <name val="Calibri"/>
      <family val="2"/>
      <scheme val="minor"/>
    </font>
    <font>
      <sz val="10"/>
      <name val="Arial"/>
      <family val="2"/>
    </font>
    <font>
      <b/>
      <sz val="15"/>
      <color rgb="FF000000"/>
      <name val="Calibri"/>
      <family val="2"/>
      <scheme val="minor"/>
    </font>
    <font>
      <sz val="12"/>
      <color rgb="FF000000"/>
      <name val="Calibri"/>
      <family val="2"/>
      <scheme val="minor"/>
    </font>
    <font>
      <sz val="12"/>
      <color theme="0" tint="-0.249977111117893"/>
      <name val="Calibri"/>
      <family val="2"/>
      <scheme val="minor"/>
    </font>
    <font>
      <sz val="11"/>
      <color theme="0" tint="-0.249977111117893"/>
      <name val="Aptos"/>
      <family val="2"/>
    </font>
    <font>
      <b/>
      <sz val="16"/>
      <color rgb="FF004F71"/>
      <name val="Calibri"/>
      <family val="2"/>
      <scheme val="minor"/>
    </font>
    <font>
      <u/>
      <sz val="12"/>
      <color theme="10"/>
      <name val="Calibri"/>
      <family val="2"/>
      <scheme val="minor"/>
    </font>
    <font>
      <b/>
      <sz val="16"/>
      <color rgb="FFFFFFFF"/>
      <name val="Arial Unicode MS"/>
      <family val="2"/>
    </font>
    <font>
      <b/>
      <sz val="12"/>
      <color rgb="FF000000"/>
      <name val="Arial Unicode MS"/>
      <family val="2"/>
    </font>
    <font>
      <b/>
      <sz val="10"/>
      <color rgb="FF000000"/>
      <name val="Arial Unicode MS"/>
      <family val="2"/>
    </font>
    <font>
      <sz val="12"/>
      <color rgb="FF000000"/>
      <name val="Arial Unicode MS"/>
      <family val="2"/>
    </font>
    <font>
      <sz val="10"/>
      <color theme="1" tint="0.24994659260841701"/>
      <name val="Arial Unicode MS"/>
      <family val="2"/>
    </font>
    <font>
      <i/>
      <sz val="12"/>
      <color rgb="FF000000"/>
      <name val="Arial Unicode MS"/>
      <family val="2"/>
    </font>
    <font>
      <sz val="10"/>
      <name val="Arial Unicode MS"/>
      <family val="2"/>
    </font>
    <font>
      <b/>
      <sz val="10"/>
      <name val="Arial Unicode MS"/>
      <family val="2"/>
    </font>
    <font>
      <sz val="10"/>
      <color rgb="FFFF0000"/>
      <name val="Arial Unicode MS"/>
    </font>
    <font>
      <b/>
      <sz val="10"/>
      <color theme="1"/>
      <name val="Arial Unicode MS"/>
      <family val="2"/>
    </font>
    <font>
      <sz val="12"/>
      <color theme="1" tint="0.24994659260841701"/>
      <name val="Arial Unicode MS"/>
      <family val="2"/>
    </font>
    <font>
      <sz val="14"/>
      <color theme="6" tint="-0.499984740745262"/>
      <name val="Calibri"/>
      <family val="2"/>
      <scheme val="minor"/>
    </font>
    <font>
      <sz val="11"/>
      <color rgb="FF004F71"/>
      <name val="Calibri"/>
      <family val="2"/>
      <scheme val="minor"/>
    </font>
    <font>
      <sz val="11"/>
      <color rgb="FF000000"/>
      <name val="Calibri"/>
      <family val="2"/>
    </font>
    <font>
      <sz val="11"/>
      <name val="Calibri"/>
      <family val="2"/>
    </font>
    <font>
      <sz val="12"/>
      <color theme="1"/>
      <name val="Calibri"/>
      <family val="2"/>
    </font>
    <font>
      <b/>
      <sz val="12"/>
      <color theme="1"/>
      <name val="Calibri"/>
      <family val="2"/>
    </font>
    <font>
      <sz val="8"/>
      <color theme="1"/>
      <name val="Arial"/>
      <family val="2"/>
    </font>
    <font>
      <sz val="11"/>
      <color theme="1"/>
      <name val="Calibri"/>
      <family val="2"/>
    </font>
  </fonts>
  <fills count="39">
    <fill>
      <patternFill patternType="none"/>
    </fill>
    <fill>
      <patternFill patternType="gray125"/>
    </fill>
    <fill>
      <patternFill patternType="solid">
        <fgColor rgb="FFC6EFCE"/>
      </patternFill>
    </fill>
    <fill>
      <patternFill patternType="solid">
        <fgColor rgb="FFFFEB9C"/>
      </patternFill>
    </fill>
    <fill>
      <patternFill patternType="solid">
        <fgColor theme="3" tint="0.39997558519241921"/>
        <bgColor indexed="64"/>
      </patternFill>
    </fill>
    <fill>
      <patternFill patternType="solid">
        <fgColor indexed="11"/>
        <bgColor indexed="64"/>
      </patternFill>
    </fill>
    <fill>
      <patternFill patternType="solid">
        <fgColor indexed="10"/>
        <bgColor indexed="64"/>
      </patternFill>
    </fill>
    <fill>
      <patternFill patternType="solid">
        <fgColor rgb="FFFFFF00"/>
        <bgColor indexed="64"/>
      </patternFill>
    </fill>
    <fill>
      <patternFill patternType="solid">
        <fgColor rgb="FF00B050"/>
        <bgColor indexed="64"/>
      </patternFill>
    </fill>
    <fill>
      <patternFill patternType="solid">
        <fgColor rgb="FFFA4616"/>
        <bgColor rgb="FF000000"/>
      </patternFill>
    </fill>
    <fill>
      <patternFill patternType="solid">
        <fgColor rgb="FFC6EFCE"/>
        <bgColor rgb="FF000000"/>
      </patternFill>
    </fill>
    <fill>
      <patternFill patternType="solid">
        <fgColor rgb="FF004F71"/>
        <bgColor indexed="64"/>
      </patternFill>
    </fill>
    <fill>
      <patternFill patternType="solid">
        <fgColor theme="0" tint="-4.9989318521683403E-2"/>
        <bgColor indexed="64"/>
      </patternFill>
    </fill>
    <fill>
      <patternFill patternType="solid">
        <fgColor rgb="FFFA4616"/>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9" tint="0.59996337778862885"/>
        <bgColor indexed="64"/>
      </patternFill>
    </fill>
    <fill>
      <patternFill patternType="solid">
        <fgColor theme="7" tint="0.59999389629810485"/>
        <bgColor indexed="64"/>
      </patternFill>
    </fill>
    <fill>
      <patternFill patternType="solid">
        <fgColor theme="4" tint="0.599963377788628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C00000"/>
        <bgColor indexed="64"/>
      </patternFill>
    </fill>
    <fill>
      <patternFill patternType="solid">
        <fgColor rgb="FF7030A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gray0625">
        <bgColor theme="4" tint="0.39994506668294322"/>
      </patternFill>
    </fill>
    <fill>
      <patternFill patternType="solid">
        <fgColor theme="0"/>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6"/>
      </patternFill>
    </fill>
    <fill>
      <patternFill patternType="solid">
        <fgColor theme="1"/>
        <bgColor rgb="FF000000"/>
      </patternFill>
    </fill>
    <fill>
      <patternFill patternType="solid">
        <fgColor theme="9"/>
        <bgColor indexed="64"/>
      </patternFill>
    </fill>
    <fill>
      <patternFill patternType="solid">
        <fgColor theme="7" tint="0.39997558519241921"/>
        <bgColor indexed="64"/>
      </patternFill>
    </fill>
    <fill>
      <patternFill patternType="solid">
        <fgColor rgb="FFA6A6A6"/>
        <bgColor rgb="FF000000"/>
      </patternFill>
    </fill>
    <fill>
      <patternFill patternType="solid">
        <fgColor rgb="FFD9D9D9"/>
        <bgColor rgb="FF000000"/>
      </patternFill>
    </fill>
    <fill>
      <patternFill patternType="solid">
        <fgColor rgb="FF92D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404040"/>
      </left>
      <right/>
      <top style="thin">
        <color rgb="FF404040"/>
      </top>
      <bottom/>
      <diagonal/>
    </border>
    <border>
      <left/>
      <right style="thin">
        <color rgb="FF404040"/>
      </right>
      <top style="thin">
        <color rgb="FF404040"/>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1" tint="0.24994659260841701"/>
      </left>
      <right style="thin">
        <color theme="1" tint="0.24994659260841701"/>
      </right>
      <top/>
      <bottom style="thin">
        <color theme="1" tint="0.24994659260841701"/>
      </bottom>
      <diagonal/>
    </border>
    <border>
      <left style="thin">
        <color theme="1" tint="0.24994659260841701"/>
      </left>
      <right style="thin">
        <color theme="1" tint="0.24994659260841701"/>
      </right>
      <top style="thin">
        <color theme="1" tint="0.24994659260841701"/>
      </top>
      <bottom style="double">
        <color theme="1" tint="0.24994659260841701"/>
      </bottom>
      <diagonal/>
    </border>
    <border>
      <left/>
      <right style="thin">
        <color theme="1" tint="0.24994659260841701"/>
      </right>
      <top style="thin">
        <color theme="1" tint="0.24994659260841701"/>
      </top>
      <bottom style="thin">
        <color theme="1" tint="0.24994659260841701"/>
      </bottom>
      <diagonal/>
    </border>
    <border>
      <left style="thin">
        <color theme="1" tint="0.24994659260841701"/>
      </left>
      <right style="thin">
        <color theme="1" tint="0.24994659260841701"/>
      </right>
      <top/>
      <bottom style="double">
        <color theme="1" tint="0.24994659260841701"/>
      </bottom>
      <diagonal/>
    </border>
    <border>
      <left style="thin">
        <color rgb="FFFF0000"/>
      </left>
      <right style="thin">
        <color rgb="FFFF0000"/>
      </right>
      <top style="thin">
        <color rgb="FFFF0000"/>
      </top>
      <bottom style="thin">
        <color rgb="FFFF0000"/>
      </bottom>
      <diagonal/>
    </border>
    <border>
      <left style="thin">
        <color theme="9" tint="-0.499984740745262"/>
      </left>
      <right style="thin">
        <color theme="9" tint="-0.499984740745262"/>
      </right>
      <top style="thin">
        <color theme="9" tint="-0.499984740745262"/>
      </top>
      <bottom/>
      <diagonal/>
    </border>
    <border>
      <left style="thin">
        <color theme="4" tint="-0.499984740745262"/>
      </left>
      <right style="thin">
        <color theme="4" tint="-0.499984740745262"/>
      </right>
      <top style="thin">
        <color theme="4" tint="-0.499984740745262"/>
      </top>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rgb="FFFF0000"/>
      </left>
      <right/>
      <top style="thin">
        <color rgb="FFFF0000"/>
      </top>
      <bottom style="thin">
        <color rgb="FFFF0000"/>
      </bottom>
      <diagonal/>
    </border>
    <border>
      <left style="thin">
        <color indexed="64"/>
      </left>
      <right style="thin">
        <color indexed="64"/>
      </right>
      <top style="thin">
        <color indexed="64"/>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3743705557422"/>
      </left>
      <right style="thin">
        <color theme="0" tint="-0.14993743705557422"/>
      </right>
      <top/>
      <bottom/>
      <diagonal/>
    </border>
    <border>
      <left/>
      <right/>
      <top/>
      <bottom style="thin">
        <color theme="0" tint="-0.499984740745262"/>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style="medium">
        <color indexed="64"/>
      </left>
      <right/>
      <top/>
      <bottom style="thin">
        <color theme="0" tint="-0.499984740745262"/>
      </bottom>
      <diagonal/>
    </border>
    <border>
      <left style="thin">
        <color theme="0" tint="-0.34998626667073579"/>
      </left>
      <right/>
      <top/>
      <bottom/>
      <diagonal/>
    </border>
    <border>
      <left/>
      <right style="thin">
        <color theme="0" tint="-0.34998626667073579"/>
      </right>
      <top/>
      <bottom/>
      <diagonal/>
    </border>
    <border>
      <left/>
      <right/>
      <top/>
      <bottom style="thin">
        <color theme="0" tint="-0.34998626667073579"/>
      </bottom>
      <diagonal/>
    </border>
    <border>
      <left style="medium">
        <color indexed="64"/>
      </left>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499984740745262"/>
      </top>
      <bottom/>
      <diagonal/>
    </border>
    <border>
      <left/>
      <right/>
      <top style="thin">
        <color theme="0" tint="-0.499984740745262"/>
      </top>
      <bottom/>
      <diagonal/>
    </border>
    <border>
      <left style="thin">
        <color theme="0" tint="-0.34998626667073579"/>
      </left>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theme="0" tint="-0.34998626667073579"/>
      </left>
      <right style="thin">
        <color theme="0" tint="-0.34998626667073579"/>
      </right>
      <top/>
      <bottom style="thin">
        <color theme="0" tint="-0.3499862666707357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2">
    <xf numFmtId="0" fontId="0" fillId="0" borderId="0"/>
    <xf numFmtId="0" fontId="8" fillId="0" borderId="0"/>
    <xf numFmtId="0" fontId="9" fillId="0" borderId="0"/>
    <xf numFmtId="164" fontId="11" fillId="0" borderId="0"/>
    <xf numFmtId="0" fontId="14" fillId="3" borderId="0" applyNumberFormat="0" applyBorder="0" applyAlignment="0" applyProtection="0"/>
    <xf numFmtId="0" fontId="15" fillId="2" borderId="0" applyNumberFormat="0" applyBorder="0" applyAlignment="0" applyProtection="0"/>
    <xf numFmtId="9" fontId="9"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34" fillId="0" borderId="0"/>
    <xf numFmtId="0" fontId="6" fillId="0" borderId="0"/>
    <xf numFmtId="0" fontId="47" fillId="0" borderId="0"/>
    <xf numFmtId="37" fontId="6" fillId="0" borderId="0" applyFont="0" applyFill="0" applyBorder="0" applyProtection="0">
      <alignment horizontal="center" vertical="center"/>
    </xf>
    <xf numFmtId="14" fontId="6" fillId="0" borderId="0" applyFont="0" applyFill="0" applyBorder="0">
      <alignment horizontal="center" vertical="center"/>
    </xf>
    <xf numFmtId="9" fontId="6" fillId="0" borderId="0" applyFont="0" applyFill="0" applyBorder="0" applyProtection="0">
      <alignment horizontal="center" vertical="center"/>
    </xf>
    <xf numFmtId="0" fontId="6" fillId="0" borderId="0" applyNumberFormat="0" applyFill="0" applyProtection="0">
      <alignment horizontal="right" vertical="center" indent="1"/>
    </xf>
    <xf numFmtId="0" fontId="51" fillId="0" borderId="0" applyNumberFormat="0" applyFill="0" applyBorder="0" applyAlignment="0" applyProtection="0"/>
    <xf numFmtId="0" fontId="53" fillId="0" borderId="0" applyNumberFormat="0" applyFill="0" applyAlignment="0" applyProtection="0"/>
    <xf numFmtId="0" fontId="47" fillId="32" borderId="0" applyNumberFormat="0" applyBorder="0" applyAlignment="0" applyProtection="0"/>
    <xf numFmtId="0" fontId="5" fillId="0" borderId="0"/>
    <xf numFmtId="37" fontId="5" fillId="0" borderId="0" applyFont="0" applyFill="0" applyBorder="0" applyProtection="0">
      <alignment horizontal="center" vertical="center"/>
    </xf>
    <xf numFmtId="14" fontId="5" fillId="0" borderId="0" applyFont="0" applyFill="0" applyBorder="0">
      <alignment horizontal="center" vertical="center"/>
    </xf>
    <xf numFmtId="9" fontId="5" fillId="0" borderId="0" applyFont="0" applyFill="0" applyBorder="0" applyProtection="0">
      <alignment horizontal="center" vertical="center"/>
    </xf>
    <xf numFmtId="0" fontId="5" fillId="0" borderId="0" applyNumberFormat="0" applyFill="0" applyProtection="0">
      <alignment horizontal="right" vertical="center" indent="1"/>
    </xf>
    <xf numFmtId="0" fontId="3" fillId="0" borderId="0"/>
    <xf numFmtId="14" fontId="3" fillId="0" borderId="0" applyFont="0" applyFill="0" applyBorder="0" applyAlignment="0">
      <alignment horizontal="left" wrapText="1"/>
    </xf>
    <xf numFmtId="168" fontId="3" fillId="0" borderId="0" applyFont="0" applyFill="0" applyBorder="0" applyAlignment="0">
      <alignment horizontal="left" wrapText="1"/>
    </xf>
    <xf numFmtId="169" fontId="3" fillId="0" borderId="0" applyFont="0" applyFill="0" applyBorder="0" applyAlignment="0">
      <alignment wrapText="1"/>
    </xf>
    <xf numFmtId="0" fontId="63" fillId="0" borderId="0">
      <alignment horizontal="center" vertical="center" textRotation="90"/>
    </xf>
    <xf numFmtId="0" fontId="69" fillId="0" borderId="0" applyNumberFormat="0" applyFill="0" applyBorder="0" applyAlignment="0" applyProtection="0"/>
    <xf numFmtId="0" fontId="1" fillId="0" borderId="0"/>
  </cellStyleXfs>
  <cellXfs count="348">
    <xf numFmtId="0" fontId="0" fillId="0" borderId="0" xfId="0"/>
    <xf numFmtId="0" fontId="10" fillId="4" borderId="0" xfId="2" applyFont="1" applyFill="1" applyAlignment="1">
      <alignment horizontal="center"/>
    </xf>
    <xf numFmtId="0" fontId="9" fillId="0" borderId="0" xfId="2"/>
    <xf numFmtId="0" fontId="9" fillId="0" borderId="0" xfId="2" applyAlignment="1">
      <alignment horizontal="center"/>
    </xf>
    <xf numFmtId="164" fontId="11" fillId="5" borderId="0" xfId="3" applyFill="1"/>
    <xf numFmtId="9" fontId="11" fillId="5" borderId="0" xfId="3" applyNumberFormat="1" applyFill="1"/>
    <xf numFmtId="164" fontId="12" fillId="6" borderId="0" xfId="3" applyFont="1" applyFill="1"/>
    <xf numFmtId="9" fontId="12" fillId="6" borderId="0" xfId="3" applyNumberFormat="1" applyFont="1" applyFill="1"/>
    <xf numFmtId="164" fontId="12" fillId="7" borderId="0" xfId="3" applyFont="1" applyFill="1"/>
    <xf numFmtId="9" fontId="12" fillId="7" borderId="0" xfId="3" applyNumberFormat="1" applyFont="1" applyFill="1"/>
    <xf numFmtId="164" fontId="12" fillId="8" borderId="0" xfId="3" applyFont="1" applyFill="1"/>
    <xf numFmtId="9" fontId="12" fillId="8" borderId="0" xfId="3" applyNumberFormat="1" applyFont="1" applyFill="1"/>
    <xf numFmtId="9" fontId="9" fillId="0" borderId="0" xfId="2" applyNumberFormat="1" applyAlignment="1">
      <alignment horizontal="center"/>
    </xf>
    <xf numFmtId="0" fontId="13" fillId="0" borderId="0" xfId="2" applyFont="1" applyAlignment="1">
      <alignment horizontal="center" vertical="center" wrapText="1"/>
    </xf>
    <xf numFmtId="0" fontId="9" fillId="0" borderId="0" xfId="2" applyAlignment="1">
      <alignment vertical="center"/>
    </xf>
    <xf numFmtId="0" fontId="20" fillId="14" borderId="0" xfId="8" applyFont="1" applyFill="1" applyAlignment="1">
      <alignment horizontal="center"/>
    </xf>
    <xf numFmtId="9" fontId="22" fillId="15" borderId="11" xfId="9" applyFont="1" applyFill="1" applyBorder="1" applyAlignment="1">
      <alignment horizontal="center"/>
    </xf>
    <xf numFmtId="0" fontId="22" fillId="15" borderId="11" xfId="8" applyFont="1" applyFill="1" applyBorder="1"/>
    <xf numFmtId="0" fontId="19" fillId="14" borderId="0" xfId="8" applyFont="1" applyFill="1" applyAlignment="1">
      <alignment horizontal="center"/>
    </xf>
    <xf numFmtId="0" fontId="23" fillId="12" borderId="12" xfId="8" applyFont="1" applyFill="1" applyBorder="1" applyAlignment="1">
      <alignment horizontal="center"/>
    </xf>
    <xf numFmtId="0" fontId="23" fillId="12" borderId="12" xfId="8" applyFont="1" applyFill="1" applyBorder="1" applyAlignment="1">
      <alignment horizontal="left"/>
    </xf>
    <xf numFmtId="9" fontId="22" fillId="15" borderId="13" xfId="9" applyFont="1" applyFill="1" applyBorder="1" applyAlignment="1">
      <alignment horizontal="center"/>
    </xf>
    <xf numFmtId="0" fontId="23" fillId="0" borderId="13" xfId="8" applyFont="1" applyBorder="1" applyAlignment="1">
      <alignment horizontal="center"/>
    </xf>
    <xf numFmtId="0" fontId="19" fillId="0" borderId="14" xfId="8" applyFont="1" applyBorder="1" applyAlignment="1">
      <alignment horizontal="center"/>
    </xf>
    <xf numFmtId="0" fontId="24" fillId="12" borderId="15" xfId="8" applyFont="1" applyFill="1" applyBorder="1" applyAlignment="1">
      <alignment horizontal="left"/>
    </xf>
    <xf numFmtId="0" fontId="23" fillId="0" borderId="11" xfId="8" applyFont="1" applyBorder="1" applyAlignment="1">
      <alignment horizontal="center"/>
    </xf>
    <xf numFmtId="0" fontId="25" fillId="16" borderId="16" xfId="8" applyFont="1" applyFill="1" applyBorder="1" applyAlignment="1">
      <alignment horizontal="left"/>
    </xf>
    <xf numFmtId="0" fontId="26" fillId="17" borderId="17" xfId="8" applyFont="1" applyFill="1" applyBorder="1" applyAlignment="1">
      <alignment horizontal="left"/>
    </xf>
    <xf numFmtId="0" fontId="27" fillId="18" borderId="16" xfId="8" applyFont="1" applyFill="1" applyBorder="1" applyAlignment="1">
      <alignment horizontal="left"/>
    </xf>
    <xf numFmtId="0" fontId="28" fillId="19" borderId="18" xfId="8" applyFont="1" applyFill="1" applyBorder="1" applyAlignment="1">
      <alignment horizontal="left"/>
    </xf>
    <xf numFmtId="0" fontId="23" fillId="12" borderId="11" xfId="8" applyFont="1" applyFill="1" applyBorder="1" applyAlignment="1">
      <alignment horizontal="center"/>
    </xf>
    <xf numFmtId="0" fontId="29" fillId="2" borderId="17" xfId="5" applyFont="1" applyBorder="1" applyAlignment="1">
      <alignment horizontal="center"/>
    </xf>
    <xf numFmtId="0" fontId="30" fillId="3" borderId="19" xfId="4" applyFont="1" applyBorder="1" applyAlignment="1">
      <alignment horizontal="center"/>
    </xf>
    <xf numFmtId="0" fontId="25" fillId="16" borderId="20" xfId="8" applyFont="1" applyFill="1" applyBorder="1" applyAlignment="1">
      <alignment horizontal="center"/>
    </xf>
    <xf numFmtId="0" fontId="31" fillId="11" borderId="0" xfId="8" applyFont="1" applyFill="1"/>
    <xf numFmtId="0" fontId="11" fillId="0" borderId="1" xfId="10" applyFont="1" applyBorder="1"/>
    <xf numFmtId="0" fontId="11" fillId="0" borderId="0" xfId="10" applyFont="1"/>
    <xf numFmtId="0" fontId="11" fillId="0" borderId="21" xfId="10" applyFont="1" applyBorder="1"/>
    <xf numFmtId="49" fontId="11" fillId="20" borderId="21" xfId="10" applyNumberFormat="1" applyFont="1" applyFill="1" applyBorder="1"/>
    <xf numFmtId="49" fontId="11" fillId="21" borderId="21" xfId="10" applyNumberFormat="1" applyFont="1" applyFill="1" applyBorder="1"/>
    <xf numFmtId="49" fontId="11" fillId="22" borderId="21" xfId="10" applyNumberFormat="1" applyFont="1" applyFill="1" applyBorder="1"/>
    <xf numFmtId="49" fontId="11" fillId="23" borderId="21" xfId="10" applyNumberFormat="1" applyFont="1" applyFill="1" applyBorder="1"/>
    <xf numFmtId="49" fontId="11" fillId="0" borderId="0" xfId="10" applyNumberFormat="1" applyFont="1"/>
    <xf numFmtId="0" fontId="11" fillId="0" borderId="2" xfId="10" applyFont="1" applyBorder="1"/>
    <xf numFmtId="49" fontId="11" fillId="15" borderId="24" xfId="10" applyNumberFormat="1" applyFont="1" applyFill="1" applyBorder="1"/>
    <xf numFmtId="49" fontId="11" fillId="24" borderId="24" xfId="10" applyNumberFormat="1" applyFont="1" applyFill="1" applyBorder="1"/>
    <xf numFmtId="49" fontId="11" fillId="0" borderId="2" xfId="10" applyNumberFormat="1" applyFont="1" applyBorder="1"/>
    <xf numFmtId="0" fontId="11" fillId="25" borderId="24" xfId="10" applyFont="1" applyFill="1" applyBorder="1"/>
    <xf numFmtId="0" fontId="11" fillId="24" borderId="24" xfId="10" applyFont="1" applyFill="1" applyBorder="1" applyAlignment="1">
      <alignment horizontal="center"/>
    </xf>
    <xf numFmtId="0" fontId="11" fillId="15" borderId="24" xfId="10" applyFont="1" applyFill="1" applyBorder="1"/>
    <xf numFmtId="0" fontId="11" fillId="24" borderId="24" xfId="10" applyFont="1" applyFill="1" applyBorder="1"/>
    <xf numFmtId="0" fontId="11" fillId="15" borderId="0" xfId="10" applyFont="1" applyFill="1"/>
    <xf numFmtId="0" fontId="11" fillId="15" borderId="24" xfId="10" applyFont="1" applyFill="1" applyBorder="1" applyAlignment="1">
      <alignment horizontal="center"/>
    </xf>
    <xf numFmtId="0" fontId="11" fillId="0" borderId="24" xfId="10" applyFont="1" applyBorder="1"/>
    <xf numFmtId="0" fontId="11" fillId="0" borderId="26" xfId="10" applyFont="1" applyBorder="1"/>
    <xf numFmtId="49" fontId="11" fillId="22" borderId="0" xfId="10" applyNumberFormat="1" applyFont="1" applyFill="1"/>
    <xf numFmtId="49" fontId="11" fillId="23" borderId="0" xfId="10" applyNumberFormat="1" applyFont="1" applyFill="1"/>
    <xf numFmtId="0" fontId="37" fillId="0" borderId="0" xfId="0" applyFont="1"/>
    <xf numFmtId="0" fontId="40" fillId="10" borderId="1" xfId="0" applyFont="1" applyFill="1" applyBorder="1" applyAlignment="1">
      <alignment horizontal="center"/>
    </xf>
    <xf numFmtId="0" fontId="41" fillId="11" borderId="1" xfId="0" applyFont="1" applyFill="1" applyBorder="1"/>
    <xf numFmtId="0" fontId="41" fillId="11" borderId="1" xfId="0" applyFont="1" applyFill="1" applyBorder="1" applyAlignment="1">
      <alignment horizontal="center"/>
    </xf>
    <xf numFmtId="0" fontId="41" fillId="11" borderId="4" xfId="0" applyFont="1" applyFill="1" applyBorder="1"/>
    <xf numFmtId="0" fontId="41" fillId="11" borderId="5" xfId="0" applyFont="1" applyFill="1" applyBorder="1" applyAlignment="1">
      <alignment horizontal="center"/>
    </xf>
    <xf numFmtId="0" fontId="42" fillId="0" borderId="1" xfId="0" applyFont="1" applyBorder="1"/>
    <xf numFmtId="0" fontId="42" fillId="0" borderId="1" xfId="0" applyFont="1" applyBorder="1" applyAlignment="1">
      <alignment horizontal="center"/>
    </xf>
    <xf numFmtId="0" fontId="42" fillId="0" borderId="1" xfId="0" applyFont="1" applyBorder="1" applyAlignment="1">
      <alignment horizontal="left" vertical="center" wrapText="1" readingOrder="1"/>
    </xf>
    <xf numFmtId="0" fontId="37" fillId="0" borderId="1" xfId="0" applyFont="1" applyBorder="1"/>
    <xf numFmtId="0" fontId="21" fillId="29" borderId="0" xfId="8" applyFont="1" applyFill="1"/>
    <xf numFmtId="0" fontId="20" fillId="0" borderId="0" xfId="8" applyFont="1" applyAlignment="1">
      <alignment horizontal="left"/>
    </xf>
    <xf numFmtId="0" fontId="9" fillId="0" borderId="0" xfId="2" applyAlignment="1">
      <alignment horizontal="left"/>
    </xf>
    <xf numFmtId="0" fontId="20" fillId="0" borderId="0" xfId="8" applyFont="1" applyAlignment="1">
      <alignment horizontal="left" wrapText="1"/>
    </xf>
    <xf numFmtId="0" fontId="35" fillId="0" borderId="0" xfId="8" applyFont="1"/>
    <xf numFmtId="0" fontId="18" fillId="0" borderId="0" xfId="8" applyFont="1"/>
    <xf numFmtId="0" fontId="43" fillId="13" borderId="0" xfId="8" applyFont="1" applyFill="1" applyAlignment="1">
      <alignment horizontal="center"/>
    </xf>
    <xf numFmtId="0" fontId="43" fillId="13" borderId="0" xfId="8" applyFont="1" applyFill="1" applyAlignment="1">
      <alignment wrapText="1"/>
    </xf>
    <xf numFmtId="0" fontId="44" fillId="12" borderId="10" xfId="8" applyFont="1" applyFill="1" applyBorder="1" applyAlignment="1">
      <alignment horizontal="center"/>
    </xf>
    <xf numFmtId="0" fontId="44" fillId="0" borderId="9" xfId="8" applyFont="1" applyBorder="1" applyAlignment="1">
      <alignment horizontal="center"/>
    </xf>
    <xf numFmtId="0" fontId="44" fillId="12" borderId="9" xfId="8" applyFont="1" applyFill="1" applyBorder="1" applyAlignment="1">
      <alignment horizontal="center"/>
    </xf>
    <xf numFmtId="0" fontId="45" fillId="0" borderId="0" xfId="8" applyFont="1" applyAlignment="1">
      <alignment wrapText="1"/>
    </xf>
    <xf numFmtId="0" fontId="44" fillId="0" borderId="9" xfId="8" applyFont="1" applyBorder="1" applyAlignment="1">
      <alignment horizontal="center" wrapText="1"/>
    </xf>
    <xf numFmtId="0" fontId="44" fillId="0" borderId="0" xfId="8" applyFont="1" applyAlignment="1">
      <alignment horizontal="center"/>
    </xf>
    <xf numFmtId="0" fontId="35" fillId="0" borderId="0" xfId="8" applyFont="1" applyAlignment="1">
      <alignment horizontal="center"/>
    </xf>
    <xf numFmtId="16" fontId="35" fillId="0" borderId="0" xfId="8" applyNumberFormat="1" applyFont="1" applyAlignment="1">
      <alignment horizontal="center"/>
    </xf>
    <xf numFmtId="166" fontId="35" fillId="0" borderId="0" xfId="8" applyNumberFormat="1" applyFont="1" applyAlignment="1">
      <alignment horizontal="center"/>
    </xf>
    <xf numFmtId="0" fontId="35" fillId="0" borderId="0" xfId="8" applyFont="1" applyAlignment="1">
      <alignment wrapText="1"/>
    </xf>
    <xf numFmtId="0" fontId="46" fillId="0" borderId="0" xfId="7" applyFont="1" applyAlignment="1">
      <alignment wrapText="1"/>
    </xf>
    <xf numFmtId="0" fontId="44" fillId="12" borderId="0" xfId="8" applyFont="1" applyFill="1" applyAlignment="1">
      <alignment horizontal="center"/>
    </xf>
    <xf numFmtId="49" fontId="11" fillId="30" borderId="2" xfId="10" applyNumberFormat="1" applyFont="1" applyFill="1" applyBorder="1"/>
    <xf numFmtId="0" fontId="6" fillId="0" borderId="0" xfId="11"/>
    <xf numFmtId="0" fontId="6" fillId="0" borderId="0" xfId="11" applyAlignment="1">
      <alignment horizontal="center"/>
    </xf>
    <xf numFmtId="0" fontId="47" fillId="0" borderId="0" xfId="12"/>
    <xf numFmtId="0" fontId="6" fillId="0" borderId="0" xfId="11" applyAlignment="1">
      <alignment horizontal="right" vertical="center"/>
    </xf>
    <xf numFmtId="0" fontId="47" fillId="0" borderId="0" xfId="11" applyFont="1" applyAlignment="1">
      <alignment horizontal="center"/>
    </xf>
    <xf numFmtId="0" fontId="6" fillId="0" borderId="0" xfId="11" applyAlignment="1">
      <alignment vertical="center"/>
    </xf>
    <xf numFmtId="0" fontId="6" fillId="0" borderId="0" xfId="11" applyAlignment="1">
      <alignment horizontal="center" vertical="center"/>
    </xf>
    <xf numFmtId="0" fontId="48" fillId="0" borderId="0" xfId="11" applyFont="1" applyAlignment="1">
      <alignment horizontal="center" vertical="center"/>
    </xf>
    <xf numFmtId="37" fontId="48" fillId="0" borderId="0" xfId="13" applyFont="1" applyFill="1">
      <alignment horizontal="center" vertical="center"/>
    </xf>
    <xf numFmtId="14" fontId="48" fillId="0" borderId="0" xfId="14" applyFont="1" applyFill="1">
      <alignment horizontal="center" vertical="center"/>
    </xf>
    <xf numFmtId="0" fontId="48" fillId="0" borderId="0" xfId="11" applyFont="1"/>
    <xf numFmtId="0" fontId="48" fillId="0" borderId="0" xfId="11" applyFont="1" applyAlignment="1">
      <alignment horizontal="left" vertical="center" wrapText="1" indent="1"/>
    </xf>
    <xf numFmtId="0" fontId="47" fillId="0" borderId="0" xfId="12" applyAlignment="1">
      <alignment wrapText="1"/>
    </xf>
    <xf numFmtId="0" fontId="6" fillId="0" borderId="37" xfId="11" applyBorder="1" applyAlignment="1">
      <alignment horizontal="center" vertical="center"/>
    </xf>
    <xf numFmtId="37" fontId="48" fillId="0" borderId="0" xfId="13" applyFont="1" applyFill="1" applyBorder="1">
      <alignment horizontal="center" vertical="center"/>
    </xf>
    <xf numFmtId="14" fontId="48" fillId="0" borderId="0" xfId="14" applyFont="1" applyFill="1" applyBorder="1">
      <alignment horizontal="center" vertical="center"/>
    </xf>
    <xf numFmtId="9" fontId="33" fillId="0" borderId="0" xfId="15" applyFont="1" applyFill="1" applyBorder="1">
      <alignment horizontal="center" vertical="center"/>
    </xf>
    <xf numFmtId="0" fontId="48" fillId="0" borderId="0" xfId="11" applyFont="1" applyAlignment="1">
      <alignment horizontal="left" vertical="center" wrapText="1" indent="2"/>
    </xf>
    <xf numFmtId="0" fontId="6" fillId="0" borderId="0" xfId="11" applyAlignment="1">
      <alignment horizontal="left" vertical="center" wrapText="1" indent="1"/>
    </xf>
    <xf numFmtId="0" fontId="6" fillId="0" borderId="38" xfId="11" applyBorder="1" applyAlignment="1">
      <alignment vertical="center"/>
    </xf>
    <xf numFmtId="37" fontId="0" fillId="0" borderId="0" xfId="13" applyFont="1" applyFill="1" applyBorder="1">
      <alignment horizontal="center" vertical="center"/>
    </xf>
    <xf numFmtId="14" fontId="0" fillId="0" borderId="0" xfId="14" applyFont="1" applyFill="1" applyBorder="1">
      <alignment horizontal="center" vertical="center"/>
    </xf>
    <xf numFmtId="9" fontId="0" fillId="0" borderId="0" xfId="15" applyFont="1" applyFill="1" applyBorder="1">
      <alignment horizontal="center" vertical="center"/>
    </xf>
    <xf numFmtId="0" fontId="6" fillId="0" borderId="0" xfId="11" applyAlignment="1">
      <alignment horizontal="left" wrapText="1" indent="2"/>
    </xf>
    <xf numFmtId="0" fontId="44" fillId="31" borderId="36" xfId="11" applyFont="1" applyFill="1" applyBorder="1" applyAlignment="1">
      <alignment horizontal="center" vertical="center" shrinkToFit="1"/>
    </xf>
    <xf numFmtId="0" fontId="48" fillId="0" borderId="0" xfId="16" applyFont="1" applyFill="1" applyAlignment="1">
      <alignment horizontal="left" vertical="center" indent="2"/>
    </xf>
    <xf numFmtId="0" fontId="48" fillId="0" borderId="0" xfId="11" applyFont="1" applyAlignment="1">
      <alignment horizontal="center"/>
    </xf>
    <xf numFmtId="0" fontId="52" fillId="0" borderId="0" xfId="17" applyFont="1" applyFill="1" applyAlignment="1">
      <alignment horizontal="left" vertical="center" indent="2"/>
    </xf>
    <xf numFmtId="0" fontId="54" fillId="0" borderId="0" xfId="11" applyFont="1" applyAlignment="1">
      <alignment vertical="center"/>
    </xf>
    <xf numFmtId="0" fontId="48" fillId="0" borderId="0" xfId="11" applyFont="1" applyAlignment="1">
      <alignment vertical="center"/>
    </xf>
    <xf numFmtId="0" fontId="54" fillId="0" borderId="0" xfId="11" applyFont="1" applyAlignment="1">
      <alignment horizontal="center" vertical="center"/>
    </xf>
    <xf numFmtId="0" fontId="55" fillId="0" borderId="0" xfId="17" applyFont="1" applyFill="1" applyBorder="1" applyAlignment="1">
      <alignment horizontal="left" vertical="center"/>
    </xf>
    <xf numFmtId="0" fontId="48" fillId="12" borderId="0" xfId="11" applyFont="1" applyFill="1"/>
    <xf numFmtId="0" fontId="43" fillId="0" borderId="0" xfId="11" applyFont="1" applyAlignment="1">
      <alignment horizontal="center" vertical="center" wrapText="1"/>
    </xf>
    <xf numFmtId="0" fontId="44" fillId="31" borderId="35" xfId="11" applyFont="1" applyFill="1" applyBorder="1" applyAlignment="1">
      <alignment horizontal="center" vertical="center" shrinkToFit="1"/>
    </xf>
    <xf numFmtId="0" fontId="44" fillId="31" borderId="40" xfId="11" applyFont="1" applyFill="1" applyBorder="1" applyAlignment="1">
      <alignment horizontal="center" vertical="center" shrinkToFit="1"/>
    </xf>
    <xf numFmtId="0" fontId="44" fillId="31" borderId="41" xfId="11" applyFont="1" applyFill="1" applyBorder="1" applyAlignment="1">
      <alignment horizontal="center" vertical="center" shrinkToFit="1"/>
    </xf>
    <xf numFmtId="0" fontId="44" fillId="31" borderId="42" xfId="11" applyFont="1" applyFill="1" applyBorder="1" applyAlignment="1">
      <alignment horizontal="center" vertical="center" shrinkToFit="1"/>
    </xf>
    <xf numFmtId="0" fontId="50" fillId="0" borderId="0" xfId="11" applyFont="1" applyAlignment="1">
      <alignment horizontal="center" vertical="center"/>
    </xf>
    <xf numFmtId="0" fontId="49" fillId="0" borderId="0" xfId="11" applyFont="1" applyAlignment="1">
      <alignment horizontal="center"/>
    </xf>
    <xf numFmtId="0" fontId="10" fillId="11" borderId="0" xfId="11" applyFont="1" applyFill="1" applyAlignment="1">
      <alignment horizontal="left" vertical="center" indent="1"/>
    </xf>
    <xf numFmtId="0" fontId="10" fillId="11" borderId="0" xfId="11" applyFont="1" applyFill="1" applyAlignment="1">
      <alignment horizontal="center" vertical="center" wrapText="1"/>
    </xf>
    <xf numFmtId="0" fontId="5" fillId="0" borderId="0" xfId="20"/>
    <xf numFmtId="0" fontId="5" fillId="0" borderId="0" xfId="20" applyAlignment="1">
      <alignment horizontal="center"/>
    </xf>
    <xf numFmtId="0" fontId="5" fillId="0" borderId="0" xfId="20" applyAlignment="1">
      <alignment horizontal="right" vertical="center"/>
    </xf>
    <xf numFmtId="0" fontId="47" fillId="0" borderId="0" xfId="20" applyFont="1" applyAlignment="1">
      <alignment horizontal="center"/>
    </xf>
    <xf numFmtId="0" fontId="5" fillId="0" borderId="0" xfId="20" applyAlignment="1">
      <alignment vertical="center"/>
    </xf>
    <xf numFmtId="0" fontId="5" fillId="0" borderId="0" xfId="20" applyAlignment="1">
      <alignment horizontal="center" vertical="center"/>
    </xf>
    <xf numFmtId="0" fontId="48" fillId="0" borderId="0" xfId="20" applyFont="1" applyAlignment="1">
      <alignment horizontal="center" vertical="center"/>
    </xf>
    <xf numFmtId="37" fontId="48" fillId="0" borderId="0" xfId="21" applyFont="1" applyFill="1">
      <alignment horizontal="center" vertical="center"/>
    </xf>
    <xf numFmtId="14" fontId="48" fillId="0" borderId="0" xfId="22" applyFont="1" applyFill="1">
      <alignment horizontal="center" vertical="center"/>
    </xf>
    <xf numFmtId="0" fontId="48" fillId="0" borderId="0" xfId="20" applyFont="1"/>
    <xf numFmtId="0" fontId="48" fillId="0" borderId="0" xfId="20" applyFont="1" applyAlignment="1">
      <alignment horizontal="left" vertical="center" wrapText="1" indent="1"/>
    </xf>
    <xf numFmtId="0" fontId="5" fillId="0" borderId="37" xfId="20" applyBorder="1" applyAlignment="1">
      <alignment horizontal="center" vertical="center"/>
    </xf>
    <xf numFmtId="37" fontId="48" fillId="0" borderId="0" xfId="21" applyFont="1" applyFill="1" applyBorder="1">
      <alignment horizontal="center" vertical="center"/>
    </xf>
    <xf numFmtId="14" fontId="48" fillId="0" borderId="0" xfId="22" applyFont="1" applyFill="1" applyBorder="1">
      <alignment horizontal="center" vertical="center"/>
    </xf>
    <xf numFmtId="9" fontId="33" fillId="0" borderId="0" xfId="23" applyFont="1" applyFill="1" applyBorder="1">
      <alignment horizontal="center" vertical="center"/>
    </xf>
    <xf numFmtId="0" fontId="57" fillId="0" borderId="0" xfId="20" applyFont="1" applyAlignment="1">
      <alignment horizontal="left" vertical="center" wrapText="1"/>
    </xf>
    <xf numFmtId="0" fontId="5" fillId="0" borderId="38" xfId="20" applyBorder="1" applyAlignment="1">
      <alignment vertical="center"/>
    </xf>
    <xf numFmtId="37" fontId="0" fillId="0" borderId="0" xfId="21" applyFont="1" applyFill="1" applyBorder="1">
      <alignment horizontal="center" vertical="center"/>
    </xf>
    <xf numFmtId="14" fontId="0" fillId="0" borderId="0" xfId="22" applyFont="1" applyFill="1" applyBorder="1">
      <alignment horizontal="center" vertical="center"/>
    </xf>
    <xf numFmtId="9" fontId="0" fillId="0" borderId="0" xfId="23" applyFont="1" applyFill="1" applyBorder="1">
      <alignment horizontal="center" vertical="center"/>
    </xf>
    <xf numFmtId="0" fontId="5" fillId="0" borderId="0" xfId="20" applyAlignment="1">
      <alignment horizontal="left" wrapText="1" indent="2"/>
    </xf>
    <xf numFmtId="0" fontId="43" fillId="0" borderId="45" xfId="20" applyFont="1" applyBorder="1" applyAlignment="1">
      <alignment horizontal="center" vertical="center" wrapText="1"/>
    </xf>
    <xf numFmtId="0" fontId="48" fillId="0" borderId="45" xfId="20" applyFont="1" applyBorder="1"/>
    <xf numFmtId="0" fontId="48" fillId="0" borderId="0" xfId="20" applyFont="1" applyAlignment="1">
      <alignment horizontal="left" vertical="center" indent="2"/>
    </xf>
    <xf numFmtId="167" fontId="44" fillId="31" borderId="49" xfId="20" applyNumberFormat="1" applyFont="1" applyFill="1" applyBorder="1" applyAlignment="1">
      <alignment horizontal="center" vertical="center"/>
    </xf>
    <xf numFmtId="167" fontId="44" fillId="31" borderId="50" xfId="20" applyNumberFormat="1" applyFont="1" applyFill="1" applyBorder="1" applyAlignment="1">
      <alignment horizontal="center" vertical="center"/>
    </xf>
    <xf numFmtId="167" fontId="44" fillId="31" borderId="51" xfId="20" applyNumberFormat="1" applyFont="1" applyFill="1" applyBorder="1" applyAlignment="1">
      <alignment horizontal="center" vertical="center"/>
    </xf>
    <xf numFmtId="0" fontId="48" fillId="0" borderId="0" xfId="20" applyFont="1" applyAlignment="1">
      <alignment horizontal="left" vertical="center"/>
    </xf>
    <xf numFmtId="0" fontId="48" fillId="0" borderId="0" xfId="24" applyFont="1" applyFill="1" applyAlignment="1">
      <alignment horizontal="left" vertical="center" indent="2"/>
    </xf>
    <xf numFmtId="0" fontId="48" fillId="0" borderId="0" xfId="20" applyFont="1" applyAlignment="1">
      <alignment horizontal="center"/>
    </xf>
    <xf numFmtId="14" fontId="48" fillId="0" borderId="0" xfId="22" applyFont="1" applyFill="1" applyBorder="1" applyAlignment="1">
      <alignment horizontal="left" vertical="center"/>
    </xf>
    <xf numFmtId="0" fontId="48" fillId="0" borderId="0" xfId="20" applyFont="1" applyAlignment="1">
      <alignment horizontal="right" vertical="center"/>
    </xf>
    <xf numFmtId="0" fontId="54" fillId="0" borderId="0" xfId="18" applyFont="1" applyFill="1" applyAlignment="1">
      <alignment horizontal="left" vertical="center" indent="2"/>
    </xf>
    <xf numFmtId="0" fontId="50" fillId="0" borderId="0" xfId="18" applyFont="1" applyFill="1" applyAlignment="1">
      <alignment horizontal="left" vertical="center" indent="2"/>
    </xf>
    <xf numFmtId="0" fontId="54" fillId="0" borderId="0" xfId="20" applyFont="1" applyAlignment="1">
      <alignment vertical="center"/>
    </xf>
    <xf numFmtId="0" fontId="48" fillId="0" borderId="0" xfId="20" applyFont="1" applyAlignment="1">
      <alignment vertical="center"/>
    </xf>
    <xf numFmtId="0" fontId="54" fillId="0" borderId="0" xfId="20" applyFont="1" applyAlignment="1">
      <alignment horizontal="center" vertical="center"/>
    </xf>
    <xf numFmtId="0" fontId="60" fillId="0" borderId="0" xfId="20" applyFont="1" applyAlignment="1">
      <alignment horizontal="left" vertical="center"/>
    </xf>
    <xf numFmtId="0" fontId="48" fillId="12" borderId="0" xfId="20" applyFont="1" applyFill="1"/>
    <xf numFmtId="0" fontId="23" fillId="0" borderId="0" xfId="0" applyFont="1" applyAlignment="1">
      <alignment horizontal="center" vertical="center" wrapText="1"/>
    </xf>
    <xf numFmtId="0" fontId="23" fillId="0" borderId="0" xfId="0" applyFont="1" applyAlignment="1">
      <alignment vertical="center" wrapText="1"/>
    </xf>
    <xf numFmtId="0" fontId="38" fillId="0" borderId="0" xfId="0" applyFont="1" applyAlignment="1">
      <alignment horizontal="left"/>
    </xf>
    <xf numFmtId="165" fontId="37" fillId="0" borderId="0" xfId="0" applyNumberFormat="1" applyFont="1" applyAlignment="1">
      <alignment horizontal="center"/>
    </xf>
    <xf numFmtId="0" fontId="10" fillId="11" borderId="0" xfId="20" applyFont="1" applyFill="1" applyAlignment="1">
      <alignment horizontal="left" vertical="center" indent="1"/>
    </xf>
    <xf numFmtId="0" fontId="10" fillId="11" borderId="0" xfId="20" applyFont="1" applyFill="1" applyAlignment="1">
      <alignment horizontal="center" vertical="center" wrapText="1"/>
    </xf>
    <xf numFmtId="167" fontId="44" fillId="11" borderId="44" xfId="20" applyNumberFormat="1" applyFont="1" applyFill="1" applyBorder="1" applyAlignment="1">
      <alignment horizontal="center" vertical="center"/>
    </xf>
    <xf numFmtId="167" fontId="44" fillId="11" borderId="0" xfId="20" applyNumberFormat="1" applyFont="1" applyFill="1" applyAlignment="1">
      <alignment horizontal="center" vertical="center"/>
    </xf>
    <xf numFmtId="0" fontId="4" fillId="0" borderId="0" xfId="20" applyFont="1"/>
    <xf numFmtId="0" fontId="4" fillId="0" borderId="0" xfId="20" applyFont="1" applyAlignment="1">
      <alignment vertical="center"/>
    </xf>
    <xf numFmtId="37" fontId="48" fillId="0" borderId="0" xfId="21" applyFont="1">
      <alignment horizontal="center" vertical="center"/>
    </xf>
    <xf numFmtId="14" fontId="48" fillId="0" borderId="0" xfId="22" applyFont="1">
      <alignment horizontal="center" vertical="center"/>
    </xf>
    <xf numFmtId="9" fontId="33" fillId="0" borderId="0" xfId="23" applyFont="1">
      <alignment horizontal="center" vertical="center"/>
    </xf>
    <xf numFmtId="0" fontId="5" fillId="0" borderId="0" xfId="20" applyAlignment="1">
      <alignment horizontal="right" vertical="center" wrapText="1" indent="1"/>
    </xf>
    <xf numFmtId="0" fontId="48" fillId="0" borderId="0" xfId="20" applyFont="1" applyAlignment="1">
      <alignment horizontal="right" vertical="center" wrapText="1" indent="1"/>
    </xf>
    <xf numFmtId="0" fontId="43" fillId="11" borderId="0" xfId="8" applyFont="1" applyFill="1" applyAlignment="1">
      <alignment horizontal="left" wrapText="1"/>
    </xf>
    <xf numFmtId="0" fontId="21" fillId="13" borderId="52" xfId="8" applyFont="1" applyFill="1" applyBorder="1" applyAlignment="1">
      <alignment horizontal="center"/>
    </xf>
    <xf numFmtId="0" fontId="19" fillId="0" borderId="0" xfId="0" applyFont="1"/>
    <xf numFmtId="0" fontId="0" fillId="0" borderId="0" xfId="0" applyAlignment="1">
      <alignment vertical="center" wrapText="1"/>
    </xf>
    <xf numFmtId="0" fontId="43" fillId="11" borderId="0" xfId="8" applyFont="1" applyFill="1" applyAlignment="1">
      <alignment wrapText="1"/>
    </xf>
    <xf numFmtId="0" fontId="21" fillId="13" borderId="48" xfId="8" applyFont="1" applyFill="1" applyBorder="1" applyAlignment="1">
      <alignment horizontal="center"/>
    </xf>
    <xf numFmtId="0" fontId="43" fillId="11" borderId="55" xfId="8" applyFont="1" applyFill="1" applyBorder="1" applyAlignment="1">
      <alignment wrapText="1"/>
    </xf>
    <xf numFmtId="0" fontId="43" fillId="11" borderId="53" xfId="8" applyFont="1" applyFill="1" applyBorder="1" applyAlignment="1">
      <alignment wrapText="1"/>
    </xf>
    <xf numFmtId="0" fontId="65" fillId="0" borderId="0" xfId="29" applyFont="1" applyAlignment="1">
      <alignment horizontal="left" vertical="center" wrapText="1"/>
    </xf>
    <xf numFmtId="0" fontId="66" fillId="0" borderId="0" xfId="29" applyFont="1" applyAlignment="1">
      <alignment horizontal="left" vertical="center" wrapText="1"/>
    </xf>
    <xf numFmtId="14" fontId="65" fillId="0" borderId="0" xfId="29" applyNumberFormat="1" applyFont="1" applyAlignment="1">
      <alignment horizontal="left" vertical="center" wrapText="1"/>
    </xf>
    <xf numFmtId="0" fontId="50" fillId="15" borderId="39" xfId="20" applyFont="1" applyFill="1" applyBorder="1" applyAlignment="1">
      <alignment vertical="center"/>
    </xf>
    <xf numFmtId="0" fontId="44" fillId="12" borderId="36" xfId="20" applyFont="1" applyFill="1" applyBorder="1" applyAlignment="1">
      <alignment horizontal="center" vertical="center" shrinkToFit="1"/>
    </xf>
    <xf numFmtId="0" fontId="44" fillId="12" borderId="57" xfId="20" applyFont="1" applyFill="1" applyBorder="1" applyAlignment="1">
      <alignment horizontal="center" vertical="center" shrinkToFit="1"/>
    </xf>
    <xf numFmtId="49" fontId="44" fillId="12" borderId="57" xfId="20" applyNumberFormat="1" applyFont="1" applyFill="1" applyBorder="1" applyAlignment="1">
      <alignment horizontal="center" vertical="center" shrinkToFit="1"/>
    </xf>
    <xf numFmtId="0" fontId="50" fillId="15" borderId="56" xfId="20" applyFont="1" applyFill="1" applyBorder="1" applyAlignment="1">
      <alignment vertical="center"/>
    </xf>
    <xf numFmtId="49" fontId="2" fillId="0" borderId="0" xfId="0" applyNumberFormat="1" applyFont="1" applyAlignment="1">
      <alignment vertical="top" wrapText="1"/>
    </xf>
    <xf numFmtId="49" fontId="16" fillId="0" borderId="0" xfId="30" applyNumberFormat="1" applyFont="1" applyAlignment="1">
      <alignment horizontal="center" vertical="top" wrapText="1"/>
    </xf>
    <xf numFmtId="0" fontId="71" fillId="37" borderId="0" xfId="1" applyFont="1" applyFill="1" applyAlignment="1">
      <alignment vertical="center"/>
    </xf>
    <xf numFmtId="0" fontId="71" fillId="37" borderId="0" xfId="1" applyFont="1" applyFill="1"/>
    <xf numFmtId="0" fontId="71" fillId="37" borderId="0" xfId="1" applyFont="1" applyFill="1" applyAlignment="1">
      <alignment horizontal="center"/>
    </xf>
    <xf numFmtId="0" fontId="71" fillId="37" borderId="0" xfId="1" applyFont="1" applyFill="1" applyAlignment="1">
      <alignment horizontal="center" vertical="center"/>
    </xf>
    <xf numFmtId="0" fontId="72" fillId="0" borderId="0" xfId="1" applyFont="1" applyAlignment="1">
      <alignment vertical="center"/>
    </xf>
    <xf numFmtId="0" fontId="17" fillId="0" borderId="0" xfId="1" applyFont="1" applyAlignment="1">
      <alignment horizontal="left" vertical="center" wrapText="1"/>
    </xf>
    <xf numFmtId="0" fontId="73" fillId="0" borderId="0" xfId="1" applyFont="1"/>
    <xf numFmtId="0" fontId="74" fillId="0" borderId="0" xfId="1" applyFont="1"/>
    <xf numFmtId="0" fontId="72" fillId="0" borderId="0" xfId="0" applyFont="1" applyAlignment="1">
      <alignment horizontal="left" vertical="center"/>
    </xf>
    <xf numFmtId="0" fontId="72" fillId="0" borderId="0" xfId="0" applyFont="1" applyAlignment="1">
      <alignment horizontal="left" vertical="center" wrapText="1"/>
    </xf>
    <xf numFmtId="0" fontId="75" fillId="0" borderId="0" xfId="1" applyFont="1" applyAlignment="1">
      <alignment horizontal="left" vertical="center" wrapText="1"/>
    </xf>
    <xf numFmtId="0" fontId="77" fillId="0" borderId="0" xfId="0" applyFont="1" applyAlignment="1">
      <alignment horizontal="left" vertical="center"/>
    </xf>
    <xf numFmtId="0" fontId="77" fillId="0" borderId="0" xfId="0" applyFont="1" applyAlignment="1">
      <alignment horizontal="left" vertical="center" wrapText="1"/>
    </xf>
    <xf numFmtId="0" fontId="72" fillId="0" borderId="0" xfId="1" applyFont="1" applyAlignment="1">
      <alignment horizontal="left" vertical="center"/>
    </xf>
    <xf numFmtId="0" fontId="71" fillId="37" borderId="0" xfId="0" applyFont="1" applyFill="1" applyAlignment="1">
      <alignment horizontal="center" vertical="center"/>
    </xf>
    <xf numFmtId="0" fontId="79" fillId="0" borderId="0" xfId="0" applyFont="1" applyAlignment="1">
      <alignment horizontal="left" vertical="center"/>
    </xf>
    <xf numFmtId="0" fontId="75" fillId="0" borderId="0" xfId="0" applyFont="1" applyAlignment="1">
      <alignment horizontal="left" vertical="center" wrapText="1"/>
    </xf>
    <xf numFmtId="0" fontId="79" fillId="0" borderId="0" xfId="1" applyFont="1" applyAlignment="1">
      <alignment horizontal="left" vertical="center"/>
    </xf>
    <xf numFmtId="0" fontId="72" fillId="0" borderId="0" xfId="0" applyFont="1" applyAlignment="1">
      <alignment wrapText="1"/>
    </xf>
    <xf numFmtId="0" fontId="72" fillId="0" borderId="0" xfId="1" applyFont="1" applyAlignment="1">
      <alignment horizontal="left" vertical="center" wrapText="1"/>
    </xf>
    <xf numFmtId="0" fontId="80" fillId="0" borderId="0" xfId="1" applyFont="1"/>
    <xf numFmtId="0" fontId="61" fillId="0" borderId="58" xfId="25" applyFont="1" applyBorder="1" applyAlignment="1">
      <alignment horizontal="center" vertical="center" wrapText="1"/>
    </xf>
    <xf numFmtId="0" fontId="61" fillId="0" borderId="59" xfId="25" applyFont="1" applyBorder="1" applyAlignment="1">
      <alignment horizontal="center" vertical="center" wrapText="1"/>
    </xf>
    <xf numFmtId="2" fontId="61" fillId="0" borderId="59" xfId="25" applyNumberFormat="1" applyFont="1" applyBorder="1" applyAlignment="1">
      <alignment horizontal="center" vertical="center" wrapText="1"/>
    </xf>
    <xf numFmtId="0" fontId="61" fillId="0" borderId="59" xfId="25" applyFont="1" applyBorder="1" applyAlignment="1">
      <alignment horizontal="left" vertical="center" wrapText="1"/>
    </xf>
    <xf numFmtId="0" fontId="81" fillId="0" borderId="59" xfId="25" applyFont="1" applyBorder="1" applyAlignment="1">
      <alignment vertical="center" wrapText="1"/>
    </xf>
    <xf numFmtId="0" fontId="61" fillId="0" borderId="60" xfId="25" applyFont="1" applyBorder="1" applyAlignment="1">
      <alignment horizontal="left" vertical="center" wrapText="1"/>
    </xf>
    <xf numFmtId="0" fontId="62" fillId="0" borderId="3" xfId="14" applyNumberFormat="1" applyFont="1" applyFill="1" applyBorder="1" applyAlignment="1">
      <alignment horizontal="center" vertical="center" wrapText="1"/>
    </xf>
    <xf numFmtId="168" fontId="62" fillId="0" borderId="1" xfId="27" applyFont="1" applyFill="1" applyBorder="1" applyAlignment="1">
      <alignment horizontal="center" vertical="center" wrapText="1"/>
    </xf>
    <xf numFmtId="0" fontId="62" fillId="0" borderId="1" xfId="25" applyFont="1" applyBorder="1" applyAlignment="1">
      <alignment horizontal="center" vertical="center" wrapText="1"/>
    </xf>
    <xf numFmtId="2" fontId="62" fillId="0" borderId="1" xfId="28" applyNumberFormat="1" applyFont="1" applyFill="1" applyBorder="1" applyAlignment="1">
      <alignment horizontal="center" vertical="center" wrapText="1"/>
    </xf>
    <xf numFmtId="2" fontId="62" fillId="0" borderId="1" xfId="25" applyNumberFormat="1" applyFont="1" applyBorder="1" applyAlignment="1">
      <alignment horizontal="center" vertical="center" wrapText="1"/>
    </xf>
    <xf numFmtId="0" fontId="62" fillId="0" borderId="1" xfId="25" applyFont="1" applyBorder="1" applyAlignment="1">
      <alignment horizontal="left" vertical="center" wrapText="1"/>
    </xf>
    <xf numFmtId="0" fontId="0" fillId="0" borderId="2" xfId="0" applyBorder="1"/>
    <xf numFmtId="0" fontId="62" fillId="0" borderId="61" xfId="14" applyNumberFormat="1" applyFont="1" applyFill="1" applyBorder="1" applyAlignment="1">
      <alignment horizontal="center" vertical="center" wrapText="1"/>
    </xf>
    <xf numFmtId="168" fontId="62" fillId="0" borderId="21" xfId="27" applyFont="1" applyFill="1" applyBorder="1" applyAlignment="1">
      <alignment horizontal="center" vertical="center" wrapText="1"/>
    </xf>
    <xf numFmtId="0" fontId="62" fillId="0" borderId="21" xfId="25" applyFont="1" applyBorder="1" applyAlignment="1">
      <alignment horizontal="center" vertical="center" wrapText="1"/>
    </xf>
    <xf numFmtId="2" fontId="62" fillId="0" borderId="21" xfId="28" applyNumberFormat="1" applyFont="1" applyFill="1" applyBorder="1" applyAlignment="1">
      <alignment horizontal="center" vertical="center" wrapText="1"/>
    </xf>
    <xf numFmtId="2" fontId="62" fillId="0" borderId="21" xfId="25" applyNumberFormat="1" applyFont="1" applyBorder="1" applyAlignment="1">
      <alignment horizontal="center" vertical="center" wrapText="1"/>
    </xf>
    <xf numFmtId="0" fontId="62" fillId="0" borderId="21" xfId="25" applyFont="1" applyBorder="1" applyAlignment="1">
      <alignment horizontal="left" vertical="center" wrapText="1"/>
    </xf>
    <xf numFmtId="0" fontId="0" fillId="0" borderId="62" xfId="0" applyBorder="1"/>
    <xf numFmtId="0" fontId="82" fillId="0" borderId="3" xfId="14" applyNumberFormat="1" applyFont="1" applyFill="1" applyBorder="1" applyAlignment="1">
      <alignment horizontal="center" vertical="center" wrapText="1"/>
    </xf>
    <xf numFmtId="49" fontId="69" fillId="0" borderId="1" xfId="30" applyNumberFormat="1" applyFill="1" applyBorder="1" applyAlignment="1">
      <alignment vertical="top" wrapText="1"/>
    </xf>
    <xf numFmtId="49" fontId="69" fillId="0" borderId="1" xfId="30" applyNumberFormat="1" applyBorder="1" applyAlignment="1">
      <alignment vertical="top" wrapText="1"/>
    </xf>
    <xf numFmtId="166" fontId="62" fillId="0" borderId="1" xfId="25" applyNumberFormat="1" applyFont="1" applyBorder="1" applyAlignment="1">
      <alignment horizontal="center" vertical="center" wrapText="1"/>
    </xf>
    <xf numFmtId="0" fontId="1" fillId="0" borderId="0" xfId="2" applyFont="1" applyAlignment="1">
      <alignment horizontal="left"/>
    </xf>
    <xf numFmtId="0" fontId="1" fillId="0" borderId="0" xfId="2" applyFont="1"/>
    <xf numFmtId="0" fontId="1" fillId="0" borderId="1" xfId="25" applyFont="1" applyBorder="1" applyAlignment="1">
      <alignment vertical="center" wrapText="1"/>
    </xf>
    <xf numFmtId="49" fontId="1" fillId="0" borderId="1" xfId="0" applyNumberFormat="1" applyFont="1" applyBorder="1" applyAlignment="1">
      <alignment vertical="top" wrapText="1"/>
    </xf>
    <xf numFmtId="0" fontId="1" fillId="0" borderId="21" xfId="25" applyFont="1" applyBorder="1" applyAlignment="1">
      <alignment vertical="center" wrapText="1"/>
    </xf>
    <xf numFmtId="49" fontId="1" fillId="0" borderId="21" xfId="0" applyNumberFormat="1" applyFont="1" applyBorder="1" applyAlignment="1">
      <alignment vertical="top" wrapText="1"/>
    </xf>
    <xf numFmtId="0" fontId="1" fillId="0" borderId="0" xfId="20" applyFont="1"/>
    <xf numFmtId="0" fontId="1" fillId="0" borderId="0" xfId="20" applyFont="1" applyAlignment="1">
      <alignment vertical="center"/>
    </xf>
    <xf numFmtId="0" fontId="1" fillId="0" borderId="38" xfId="20" applyFont="1" applyBorder="1" applyAlignment="1">
      <alignment vertical="center"/>
    </xf>
    <xf numFmtId="0" fontId="1" fillId="0" borderId="37" xfId="20" applyFont="1" applyBorder="1" applyAlignment="1">
      <alignment horizontal="center" vertical="center"/>
    </xf>
    <xf numFmtId="0" fontId="1" fillId="0" borderId="0" xfId="11" applyFont="1" applyAlignment="1">
      <alignment horizontal="right" vertical="center" wrapText="1" indent="1"/>
    </xf>
    <xf numFmtId="0" fontId="1" fillId="0" borderId="0" xfId="20" applyFont="1" applyAlignment="1">
      <alignment horizontal="right" vertical="center" wrapText="1" indent="1"/>
    </xf>
    <xf numFmtId="0" fontId="1" fillId="0" borderId="0" xfId="20" applyFont="1" applyAlignment="1">
      <alignment horizontal="center" vertical="center"/>
    </xf>
    <xf numFmtId="16" fontId="17" fillId="0" borderId="0" xfId="1" applyNumberFormat="1" applyFont="1" applyAlignment="1">
      <alignment horizontal="center" vertical="center"/>
    </xf>
    <xf numFmtId="0" fontId="86" fillId="38" borderId="1" xfId="0" applyFont="1" applyFill="1" applyBorder="1" applyAlignment="1">
      <alignment horizontal="left" vertical="center" readingOrder="1"/>
    </xf>
    <xf numFmtId="0" fontId="86" fillId="38" borderId="1" xfId="0" applyFont="1" applyFill="1" applyBorder="1" applyAlignment="1">
      <alignment horizontal="center" vertical="center" readingOrder="1"/>
    </xf>
    <xf numFmtId="0" fontId="87" fillId="0" borderId="0" xfId="0" applyFont="1" applyAlignment="1">
      <alignment horizontal="center"/>
    </xf>
    <xf numFmtId="0" fontId="86" fillId="0" borderId="1" xfId="0" applyFont="1" applyBorder="1" applyAlignment="1">
      <alignment horizontal="left" vertical="center" readingOrder="1"/>
    </xf>
    <xf numFmtId="0" fontId="85" fillId="0" borderId="1" xfId="0" applyFont="1" applyBorder="1" applyAlignment="1">
      <alignment horizontal="left" vertical="center" readingOrder="1"/>
    </xf>
    <xf numFmtId="16" fontId="83" fillId="0" borderId="1" xfId="0" applyNumberFormat="1" applyFont="1" applyBorder="1" applyAlignment="1">
      <alignment horizontal="center" vertical="center" readingOrder="1"/>
    </xf>
    <xf numFmtId="16" fontId="85" fillId="0" borderId="1" xfId="0" applyNumberFormat="1" applyFont="1" applyBorder="1" applyAlignment="1">
      <alignment horizontal="center" vertical="center" readingOrder="1"/>
    </xf>
    <xf numFmtId="0" fontId="85" fillId="0" borderId="1" xfId="0" applyFont="1" applyBorder="1" applyAlignment="1">
      <alignment horizontal="center" vertical="center" readingOrder="1"/>
    </xf>
    <xf numFmtId="0" fontId="83" fillId="0" borderId="1" xfId="0" applyFont="1" applyBorder="1" applyAlignment="1">
      <alignment horizontal="left" vertical="center" readingOrder="1"/>
    </xf>
    <xf numFmtId="0" fontId="88" fillId="0" borderId="1" xfId="0" applyFont="1" applyBorder="1"/>
    <xf numFmtId="0" fontId="88" fillId="0" borderId="1" xfId="0" applyFont="1" applyBorder="1" applyAlignment="1">
      <alignment horizontal="center"/>
    </xf>
    <xf numFmtId="0" fontId="88" fillId="0" borderId="1" xfId="0" applyFont="1" applyBorder="1" applyAlignment="1">
      <alignment horizontal="left" vertical="top"/>
    </xf>
    <xf numFmtId="0" fontId="88" fillId="0" borderId="1" xfId="0" applyFont="1" applyBorder="1" applyAlignment="1">
      <alignment horizontal="left" vertical="center"/>
    </xf>
    <xf numFmtId="0" fontId="88" fillId="0" borderId="1" xfId="0" applyFont="1" applyBorder="1" applyAlignment="1">
      <alignment horizontal="left"/>
    </xf>
    <xf numFmtId="0" fontId="88" fillId="0" borderId="1" xfId="0" applyFont="1" applyBorder="1" applyAlignment="1">
      <alignment vertical="center" wrapText="1"/>
    </xf>
    <xf numFmtId="16" fontId="84" fillId="0" borderId="1" xfId="0" applyNumberFormat="1" applyFont="1" applyBorder="1" applyAlignment="1">
      <alignment horizontal="center" vertical="center"/>
    </xf>
    <xf numFmtId="0" fontId="87" fillId="28" borderId="0" xfId="0" applyFont="1" applyFill="1" applyAlignment="1">
      <alignment horizontal="center"/>
    </xf>
    <xf numFmtId="0" fontId="84" fillId="0" borderId="1" xfId="0" applyFont="1" applyBorder="1" applyAlignment="1">
      <alignment horizontal="center" vertical="center"/>
    </xf>
    <xf numFmtId="0" fontId="87" fillId="0" borderId="0" xfId="0" applyFont="1" applyAlignment="1">
      <alignment horizontal="left"/>
    </xf>
    <xf numFmtId="0" fontId="71" fillId="37" borderId="0" xfId="1" applyFont="1" applyFill="1" applyAlignment="1">
      <alignment horizontal="left" vertical="center"/>
    </xf>
    <xf numFmtId="0" fontId="70" fillId="36" borderId="0" xfId="1" applyFont="1" applyFill="1" applyAlignment="1">
      <alignment horizontal="center" vertical="center"/>
    </xf>
    <xf numFmtId="0" fontId="71" fillId="37" borderId="0" xfId="0" applyFont="1" applyFill="1" applyAlignment="1">
      <alignment horizontal="left" vertical="center"/>
    </xf>
    <xf numFmtId="0" fontId="65" fillId="0" borderId="0" xfId="29" applyFont="1" applyAlignment="1">
      <alignment horizontal="center" vertical="center" wrapText="1"/>
    </xf>
    <xf numFmtId="0" fontId="64" fillId="0" borderId="0" xfId="29" applyFont="1" applyAlignment="1">
      <alignment horizontal="center" vertical="center" wrapText="1"/>
    </xf>
    <xf numFmtId="0" fontId="65" fillId="0" borderId="0" xfId="29" applyFont="1" applyAlignment="1">
      <alignment horizontal="left" vertical="center" wrapText="1"/>
    </xf>
    <xf numFmtId="0" fontId="66" fillId="0" borderId="0" xfId="29" applyFont="1" applyAlignment="1">
      <alignment horizontal="center" vertical="center" wrapText="1"/>
    </xf>
    <xf numFmtId="0" fontId="10" fillId="4" borderId="0" xfId="2" applyFont="1" applyFill="1" applyAlignment="1">
      <alignment horizontal="center"/>
    </xf>
    <xf numFmtId="0" fontId="9" fillId="0" borderId="0" xfId="2" applyAlignment="1">
      <alignment horizontal="center"/>
    </xf>
    <xf numFmtId="0" fontId="0" fillId="0" borderId="0" xfId="0" applyAlignment="1">
      <alignment horizontal="left" vertical="center" wrapText="1"/>
    </xf>
    <xf numFmtId="0" fontId="23" fillId="0" borderId="0" xfId="0" applyFont="1" applyAlignment="1">
      <alignment horizontal="left" vertical="center" wrapText="1"/>
    </xf>
    <xf numFmtId="0" fontId="39" fillId="9" borderId="2" xfId="0" applyFont="1" applyFill="1" applyBorder="1" applyAlignment="1">
      <alignment horizontal="center" vertical="top"/>
    </xf>
    <xf numFmtId="0" fontId="39" fillId="9" borderId="8" xfId="0" applyFont="1" applyFill="1" applyBorder="1" applyAlignment="1">
      <alignment horizontal="center" vertical="top"/>
    </xf>
    <xf numFmtId="0" fontId="39" fillId="9" borderId="3" xfId="0" applyFont="1" applyFill="1" applyBorder="1" applyAlignment="1">
      <alignment horizontal="center" vertical="top"/>
    </xf>
    <xf numFmtId="0" fontId="39" fillId="9" borderId="6" xfId="0" applyFont="1" applyFill="1" applyBorder="1" applyAlignment="1">
      <alignment horizontal="center"/>
    </xf>
    <xf numFmtId="0" fontId="39" fillId="9" borderId="0" xfId="0" applyFont="1" applyFill="1" applyAlignment="1">
      <alignment horizontal="center"/>
    </xf>
    <xf numFmtId="0" fontId="39" fillId="9" borderId="7" xfId="0" applyFont="1" applyFill="1" applyBorder="1" applyAlignment="1">
      <alignment horizontal="center"/>
    </xf>
    <xf numFmtId="0" fontId="36" fillId="28" borderId="1" xfId="0" applyFont="1" applyFill="1" applyBorder="1" applyAlignment="1">
      <alignment horizontal="left"/>
    </xf>
    <xf numFmtId="165" fontId="37" fillId="0" borderId="1" xfId="0" applyNumberFormat="1" applyFont="1" applyBorder="1" applyAlignment="1">
      <alignment horizontal="center"/>
    </xf>
    <xf numFmtId="0" fontId="37" fillId="0" borderId="30" xfId="0" applyFont="1" applyBorder="1" applyAlignment="1">
      <alignment horizontal="center"/>
    </xf>
    <xf numFmtId="0" fontId="37" fillId="0" borderId="0" xfId="0" applyFont="1" applyAlignment="1">
      <alignment horizontal="center"/>
    </xf>
    <xf numFmtId="0" fontId="37" fillId="0" borderId="31" xfId="0" applyFont="1" applyBorder="1" applyAlignment="1">
      <alignment horizontal="center"/>
    </xf>
    <xf numFmtId="0" fontId="37" fillId="0" borderId="32" xfId="0" applyFont="1" applyBorder="1" applyAlignment="1">
      <alignment horizontal="center"/>
    </xf>
    <xf numFmtId="0" fontId="37" fillId="0" borderId="33" xfId="0" applyFont="1" applyBorder="1" applyAlignment="1">
      <alignment horizontal="center"/>
    </xf>
    <xf numFmtId="0" fontId="37" fillId="0" borderId="34" xfId="0" applyFont="1" applyBorder="1" applyAlignment="1">
      <alignment horizontal="center"/>
    </xf>
    <xf numFmtId="0" fontId="39" fillId="33" borderId="27" xfId="0" applyFont="1" applyFill="1" applyBorder="1" applyAlignment="1">
      <alignment horizontal="left"/>
    </xf>
    <xf numFmtId="0" fontId="39" fillId="33" borderId="28" xfId="0" applyFont="1" applyFill="1" applyBorder="1" applyAlignment="1">
      <alignment horizontal="left"/>
    </xf>
    <xf numFmtId="0" fontId="39" fillId="33" borderId="29" xfId="0" applyFont="1" applyFill="1" applyBorder="1" applyAlignment="1">
      <alignment horizontal="left"/>
    </xf>
    <xf numFmtId="0" fontId="37" fillId="0" borderId="1" xfId="0" applyFont="1" applyBorder="1" applyAlignment="1">
      <alignment horizontal="left" vertical="center"/>
    </xf>
    <xf numFmtId="0" fontId="37" fillId="0" borderId="1" xfId="0" applyFont="1" applyBorder="1" applyAlignment="1">
      <alignment horizontal="left"/>
    </xf>
    <xf numFmtId="0" fontId="37" fillId="0" borderId="28" xfId="0" applyFont="1" applyBorder="1" applyAlignment="1">
      <alignment horizontal="center"/>
    </xf>
    <xf numFmtId="0" fontId="68" fillId="0" borderId="0" xfId="0" applyFont="1" applyAlignment="1">
      <alignment horizontal="center"/>
    </xf>
    <xf numFmtId="14" fontId="31" fillId="11" borderId="0" xfId="8" applyNumberFormat="1" applyFont="1" applyFill="1" applyAlignment="1">
      <alignment horizontal="left"/>
    </xf>
    <xf numFmtId="0" fontId="43" fillId="11" borderId="0" xfId="8" applyFont="1" applyFill="1" applyAlignment="1">
      <alignment horizontal="left" wrapText="1"/>
    </xf>
    <xf numFmtId="0" fontId="50" fillId="0" borderId="47" xfId="11" applyFont="1" applyBorder="1" applyAlignment="1">
      <alignment horizontal="center" vertical="center"/>
    </xf>
    <xf numFmtId="0" fontId="50" fillId="0" borderId="46" xfId="11" applyFont="1" applyBorder="1" applyAlignment="1">
      <alignment horizontal="center" vertical="center"/>
    </xf>
    <xf numFmtId="0" fontId="50" fillId="0" borderId="27" xfId="11" applyFont="1" applyBorder="1" applyAlignment="1">
      <alignment horizontal="center" vertical="center"/>
    </xf>
    <xf numFmtId="0" fontId="50" fillId="0" borderId="28" xfId="11" applyFont="1" applyBorder="1" applyAlignment="1">
      <alignment horizontal="center" vertical="center"/>
    </xf>
    <xf numFmtId="0" fontId="50" fillId="0" borderId="29" xfId="11" applyFont="1" applyBorder="1" applyAlignment="1">
      <alignment horizontal="center" vertical="center"/>
    </xf>
    <xf numFmtId="0" fontId="50" fillId="0" borderId="43" xfId="11" applyFont="1" applyBorder="1" applyAlignment="1">
      <alignment horizontal="center" vertical="center"/>
    </xf>
    <xf numFmtId="0" fontId="50" fillId="0" borderId="39" xfId="11" applyFont="1" applyBorder="1" applyAlignment="1">
      <alignment horizontal="center" vertical="center"/>
    </xf>
    <xf numFmtId="0" fontId="49" fillId="0" borderId="39" xfId="11" applyFont="1" applyBorder="1" applyAlignment="1">
      <alignment horizontal="center"/>
    </xf>
    <xf numFmtId="0" fontId="56" fillId="12" borderId="0" xfId="17" applyFont="1" applyFill="1" applyAlignment="1">
      <alignment horizontal="left" vertical="center" indent="1"/>
    </xf>
    <xf numFmtId="0" fontId="54" fillId="12" borderId="0" xfId="11" applyFont="1" applyFill="1" applyAlignment="1">
      <alignment horizontal="center" vertical="center"/>
    </xf>
    <xf numFmtId="0" fontId="48" fillId="12" borderId="0" xfId="11" applyFont="1" applyFill="1" applyAlignment="1">
      <alignment horizontal="center" vertical="center"/>
    </xf>
    <xf numFmtId="0" fontId="11" fillId="24" borderId="24" xfId="10" applyFont="1" applyFill="1" applyBorder="1" applyAlignment="1">
      <alignment horizontal="center"/>
    </xf>
    <xf numFmtId="0" fontId="11" fillId="26" borderId="24" xfId="10" applyFont="1" applyFill="1" applyBorder="1" applyAlignment="1">
      <alignment horizontal="center" vertical="center"/>
    </xf>
    <xf numFmtId="0" fontId="11" fillId="24" borderId="22" xfId="10" applyFont="1" applyFill="1" applyBorder="1" applyAlignment="1">
      <alignment horizontal="center"/>
    </xf>
    <xf numFmtId="0" fontId="11" fillId="24" borderId="25" xfId="10" applyFont="1" applyFill="1" applyBorder="1" applyAlignment="1">
      <alignment horizontal="center"/>
    </xf>
    <xf numFmtId="0" fontId="11" fillId="24" borderId="23" xfId="10" applyFont="1" applyFill="1" applyBorder="1" applyAlignment="1">
      <alignment horizontal="center"/>
    </xf>
    <xf numFmtId="0" fontId="11" fillId="26" borderId="24" xfId="10" applyFont="1" applyFill="1" applyBorder="1" applyAlignment="1">
      <alignment horizontal="center" vertical="center" wrapText="1"/>
    </xf>
    <xf numFmtId="0" fontId="11" fillId="27" borderId="24" xfId="10" applyFont="1" applyFill="1" applyBorder="1" applyAlignment="1">
      <alignment horizontal="center" vertical="center"/>
    </xf>
    <xf numFmtId="0" fontId="11" fillId="21" borderId="1" xfId="10" applyFont="1" applyFill="1" applyBorder="1" applyAlignment="1">
      <alignment horizontal="center"/>
    </xf>
    <xf numFmtId="49" fontId="11" fillId="24" borderId="22" xfId="10" applyNumberFormat="1" applyFont="1" applyFill="1" applyBorder="1" applyAlignment="1">
      <alignment horizontal="center"/>
    </xf>
    <xf numFmtId="49" fontId="11" fillId="24" borderId="23" xfId="10" applyNumberFormat="1" applyFont="1" applyFill="1" applyBorder="1" applyAlignment="1">
      <alignment horizontal="center"/>
    </xf>
    <xf numFmtId="0" fontId="11" fillId="0" borderId="2" xfId="10" applyFont="1" applyBorder="1" applyAlignment="1">
      <alignment horizontal="center"/>
    </xf>
    <xf numFmtId="0" fontId="11" fillId="0" borderId="8" xfId="10" applyFont="1" applyBorder="1" applyAlignment="1">
      <alignment horizontal="center"/>
    </xf>
    <xf numFmtId="0" fontId="11" fillId="20" borderId="1" xfId="10" applyFont="1" applyFill="1" applyBorder="1" applyAlignment="1">
      <alignment horizontal="center"/>
    </xf>
    <xf numFmtId="0" fontId="59" fillId="22" borderId="0" xfId="20" applyFont="1" applyFill="1" applyAlignment="1">
      <alignment horizontal="center" vertical="center"/>
    </xf>
    <xf numFmtId="0" fontId="58" fillId="25" borderId="0" xfId="20" applyFont="1" applyFill="1" applyAlignment="1">
      <alignment horizontal="center" vertical="center"/>
    </xf>
    <xf numFmtId="0" fontId="54" fillId="12" borderId="0" xfId="20" applyFont="1" applyFill="1" applyAlignment="1">
      <alignment horizontal="center" vertical="center"/>
    </xf>
    <xf numFmtId="0" fontId="48" fillId="12" borderId="0" xfId="20" applyFont="1" applyFill="1" applyAlignment="1">
      <alignment horizontal="center" vertical="center"/>
    </xf>
    <xf numFmtId="0" fontId="58" fillId="35" borderId="0" xfId="20" applyFont="1" applyFill="1" applyAlignment="1">
      <alignment horizontal="center" vertical="center"/>
    </xf>
    <xf numFmtId="0" fontId="59" fillId="24" borderId="0" xfId="20" applyFont="1" applyFill="1" applyAlignment="1">
      <alignment horizontal="center" vertical="center"/>
    </xf>
    <xf numFmtId="0" fontId="59" fillId="34" borderId="0" xfId="19" applyFont="1" applyFill="1" applyAlignment="1">
      <alignment horizontal="center" vertical="center"/>
    </xf>
    <xf numFmtId="0" fontId="59" fillId="11" borderId="46" xfId="8" applyFont="1" applyFill="1" applyBorder="1" applyAlignment="1">
      <alignment horizontal="center" wrapText="1"/>
    </xf>
    <xf numFmtId="0" fontId="43" fillId="11" borderId="53" xfId="8" applyFont="1" applyFill="1" applyBorder="1" applyAlignment="1">
      <alignment horizontal="center" wrapText="1"/>
    </xf>
    <xf numFmtId="0" fontId="43" fillId="11" borderId="54" xfId="8" applyFont="1" applyFill="1" applyBorder="1" applyAlignment="1">
      <alignment horizontal="center" wrapText="1"/>
    </xf>
  </cellXfs>
  <cellStyles count="32">
    <cellStyle name="Accent3" xfId="19" builtinId="37"/>
    <cellStyle name="Comma [0] 2" xfId="13" xr:uid="{540A1692-F645-4660-8636-AD7CE034A599}"/>
    <cellStyle name="Comma [0] 3" xfId="21" xr:uid="{90512F0B-7C91-48E9-B021-1AEBA5237E29}"/>
    <cellStyle name="Date" xfId="14" xr:uid="{57F23E99-EDBA-4417-B1EA-8DBAC8C8B042}"/>
    <cellStyle name="Date 2" xfId="22" xr:uid="{DA125DC0-BCEB-44F9-BB4E-A39A37A55AE8}"/>
    <cellStyle name="Date 3" xfId="26" xr:uid="{65574958-2E01-4D4F-A73F-F3E77AEDE9C2}"/>
    <cellStyle name="Good 2" xfId="5" xr:uid="{3FCB9A01-1DB5-EB40-8A83-8B637E8CF6AE}"/>
    <cellStyle name="Heading 1 2" xfId="18" xr:uid="{4BB2714A-6BA9-436D-B1DB-C2D6BCCBA114}"/>
    <cellStyle name="Heading 3 2" xfId="16" xr:uid="{4134F3A4-9A55-4DA8-8DDA-39FB377E5664}"/>
    <cellStyle name="Heading 3 3" xfId="24" xr:uid="{2850BF3B-AA61-4DA2-8345-581B0B839A82}"/>
    <cellStyle name="Hyperlink" xfId="30" builtinId="8"/>
    <cellStyle name="Hyperlink 2" xfId="7" xr:uid="{1F465957-CEE0-F245-B467-FE662316B58E}"/>
    <cellStyle name="Neutral 2" xfId="4" xr:uid="{15821C5E-66BB-4443-BD7C-724338E67C56}"/>
    <cellStyle name="Normal" xfId="0" builtinId="0"/>
    <cellStyle name="Normal 2" xfId="1" xr:uid="{D7509B70-849A-BD45-9FB4-DA3FADA8118A}"/>
    <cellStyle name="Normal 2 2" xfId="3" xr:uid="{EF76F02B-B00C-F745-AF03-5040D1921FC8}"/>
    <cellStyle name="Normal 3" xfId="2" xr:uid="{A88067B0-CED2-6B42-927D-219186CDED2D}"/>
    <cellStyle name="Normal 3 2" xfId="8" xr:uid="{217975F7-E481-4087-B482-AB0F865A213D}"/>
    <cellStyle name="Normal 4" xfId="10" xr:uid="{C7798554-1C57-4E91-A659-853D342E3DDE}"/>
    <cellStyle name="Normal 5" xfId="11" xr:uid="{FB051B26-660B-4906-8275-060E310B6416}"/>
    <cellStyle name="Normal 6" xfId="20" xr:uid="{4FF32031-5AC7-437F-B967-7A77B2F4F5CB}"/>
    <cellStyle name="Normal 7" xfId="25" xr:uid="{BF98829E-442A-444E-89F8-1EB2660D6A02}"/>
    <cellStyle name="Normal 8" xfId="29" xr:uid="{21E7882C-0F08-4E66-BFE8-CC1205CD19C8}"/>
    <cellStyle name="Normal 9" xfId="31" xr:uid="{637E4C26-4348-46DB-A48B-364714D8C941}"/>
    <cellStyle name="Percent 2" xfId="6" xr:uid="{55418E19-5DE7-8A4C-AAAD-C4A544E1180D}"/>
    <cellStyle name="Percent 2 2" xfId="9" xr:uid="{A1DE0F75-F565-473D-B63C-70EB3A991386}"/>
    <cellStyle name="Percent 3" xfId="15" xr:uid="{E6F28F68-A384-42E7-BDAB-901E48C894E6}"/>
    <cellStyle name="Percent 4" xfId="23" xr:uid="{0BDA7118-3814-4D59-8E9B-225BA6F4071F}"/>
    <cellStyle name="Phone" xfId="28" xr:uid="{F4292F62-7212-4875-8420-787FCAA93D4E}"/>
    <cellStyle name="Time" xfId="27" xr:uid="{F3C56BC0-8B4A-4DBB-BDBC-C0B2246F6D74}"/>
    <cellStyle name="Title 2" xfId="17" xr:uid="{9C453BFF-C557-45F7-89E8-80851ADA3A5C}"/>
    <cellStyle name="zHiddenText" xfId="12" xr:uid="{33934CAD-1651-4157-ADAD-F2E55877D16F}"/>
  </cellStyles>
  <dxfs count="124">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patternFill>
      </fill>
      <border>
        <left/>
        <right/>
        <top/>
        <bottom/>
      </border>
    </dxf>
    <dxf>
      <fill>
        <patternFill>
          <bgColor rgb="FFC00000"/>
        </patternFill>
      </fill>
      <border>
        <left/>
        <right/>
        <top/>
        <bottom/>
      </border>
    </dxf>
    <dxf>
      <fill>
        <patternFill>
          <bgColor theme="7" tint="0.39994506668294322"/>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rgb="FFFFC000"/>
        </patternFill>
      </fill>
      <border>
        <left style="thin">
          <color theme="9" tint="-0.24994659260841701"/>
        </left>
        <right style="thin">
          <color theme="9" tint="-0.24994659260841701"/>
        </right>
        <top style="thin">
          <color theme="0"/>
        </top>
        <bottom style="thin">
          <color theme="0"/>
        </bottom>
        <vertical/>
        <horizontal/>
      </border>
    </dxf>
    <dxf>
      <fill>
        <patternFill>
          <bgColor theme="9"/>
        </patternFill>
      </fill>
      <border>
        <left style="thin">
          <color theme="4"/>
        </left>
        <right style="thin">
          <color theme="4"/>
        </right>
        <top style="thin">
          <color theme="0"/>
        </top>
        <bottom style="thin">
          <color theme="0"/>
        </bottom>
      </border>
    </dxf>
    <dxf>
      <fill>
        <patternFill>
          <bgColor rgb="FFC00000"/>
        </patternFill>
      </fill>
      <border>
        <left style="thin">
          <color theme="7" tint="-0.24994659260841701"/>
        </left>
        <right style="thin">
          <color theme="7" tint="-0.24994659260841701"/>
        </right>
        <top style="thin">
          <color theme="0"/>
        </top>
        <bottom style="thin">
          <color theme="0"/>
        </bottom>
      </border>
    </dxf>
    <dxf>
      <fill>
        <patternFill>
          <bgColor theme="7" tint="0.39994506668294322"/>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ont>
        <color rgb="FF9C0006"/>
      </font>
      <fill>
        <patternFill>
          <bgColor rgb="FFFFC7CE"/>
        </patternFill>
      </fill>
      <border>
        <left style="thin">
          <color rgb="FFFF0000"/>
        </left>
        <right style="thin">
          <color rgb="FFFF0000"/>
        </right>
        <top style="thin">
          <color rgb="FFFF0000"/>
        </top>
        <bottom style="thin">
          <color rgb="FFFF0000"/>
        </bottom>
      </border>
    </dxf>
    <dxf>
      <font>
        <color rgb="FF9C6500"/>
      </font>
      <fill>
        <patternFill>
          <bgColor rgb="FFFFEB9C"/>
        </patternFill>
      </fill>
      <border>
        <left style="thin">
          <color theme="7" tint="-0.24994659260841701"/>
        </left>
        <right style="thin">
          <color theme="7" tint="-0.24994659260841701"/>
        </right>
        <top style="thin">
          <color theme="7" tint="-0.24994659260841701"/>
        </top>
        <bottom style="thin">
          <color theme="7" tint="-0.24994659260841701"/>
        </bottom>
      </border>
    </dxf>
    <dxf>
      <font>
        <color rgb="FF006100"/>
      </font>
      <fill>
        <patternFill>
          <bgColor rgb="FFC6EFCE"/>
        </patternFill>
      </fill>
      <border>
        <left style="thin">
          <color theme="9" tint="-0.499984740745262"/>
        </left>
        <right style="thin">
          <color theme="9" tint="-0.499984740745262"/>
        </right>
        <top style="thin">
          <color theme="9" tint="-0.499984740745262"/>
        </top>
        <bottom style="thin">
          <color theme="9" tint="-0.499984740745262"/>
        </bottom>
      </border>
    </dxf>
    <dxf>
      <font>
        <color rgb="FF9C0006"/>
      </font>
      <fill>
        <patternFill>
          <bgColor rgb="FFFFC7CE"/>
        </patternFill>
      </fill>
      <border>
        <left style="thin">
          <color rgb="FFFF0000"/>
        </left>
        <right style="thin">
          <color rgb="FFFF0000"/>
        </right>
        <top style="thin">
          <color rgb="FFFF0000"/>
        </top>
        <bottom style="thin">
          <color rgb="FFFF0000"/>
        </bottom>
      </border>
    </dxf>
    <dxf>
      <font>
        <color theme="8" tint="-0.24994659260841701"/>
      </font>
      <fill>
        <patternFill>
          <bgColor theme="4" tint="0.59996337778862885"/>
        </patternFill>
      </fill>
      <border>
        <left style="thin">
          <color theme="4" tint="-0.24994659260841701"/>
        </left>
        <right style="thin">
          <color theme="4" tint="-0.24994659260841701"/>
        </right>
        <top style="thin">
          <color theme="4" tint="-0.24994659260841701"/>
        </top>
        <bottom style="thin">
          <color theme="4" tint="-0.24994659260841701"/>
        </bottom>
      </border>
    </dxf>
    <dxf>
      <font>
        <color rgb="FF006100"/>
      </font>
      <fill>
        <patternFill>
          <bgColor rgb="FFC6EFCE"/>
        </patternFill>
      </fill>
      <border>
        <left style="thin">
          <color theme="9" tint="-0.24994659260841701"/>
        </left>
        <right style="thin">
          <color theme="9" tint="-0.24994659260841701"/>
        </right>
        <top style="thin">
          <color theme="9" tint="-0.24994659260841701"/>
        </top>
        <bottom style="thin">
          <color theme="9" tint="-0.24994659260841701"/>
        </bottom>
      </border>
    </dxf>
    <dxf>
      <font>
        <color theme="0" tint="-0.499984740745262"/>
      </font>
      <fill>
        <patternFill>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color theme="7" tint="-0.499984740745262"/>
      </font>
      <fill>
        <patternFill>
          <bgColor theme="7" tint="0.59996337778862885"/>
        </patternFill>
      </fill>
    </dxf>
    <dxf>
      <font>
        <strike val="0"/>
        <color theme="7" tint="-0.499984740745262"/>
      </font>
      <fill>
        <patternFill>
          <bgColor theme="7" tint="0.59996337778862885"/>
        </patternFill>
      </fill>
    </dxf>
    <dxf>
      <font>
        <color theme="7" tint="-0.499984740745262"/>
      </font>
    </dxf>
    <dxf>
      <font>
        <color theme="7" tint="-0.24994659260841701"/>
      </font>
      <fill>
        <patternFill>
          <bgColor theme="7" tint="0.59996337778862885"/>
        </patternFill>
      </fill>
    </dxf>
    <dxf>
      <font>
        <color theme="7" tint="-0.24994659260841701"/>
      </font>
      <fill>
        <patternFill>
          <bgColor theme="7" tint="0.59996337778862885"/>
        </patternFill>
      </fill>
    </dxf>
    <dxf>
      <font>
        <color theme="7" tint="-0.499984740745262"/>
      </font>
      <fill>
        <patternFill>
          <bgColor theme="7" tint="0.59996337778862885"/>
        </patternFill>
      </fill>
    </dxf>
    <dxf>
      <fill>
        <patternFill>
          <bgColor theme="7" tint="0.59996337778862885"/>
        </patternFill>
      </fill>
    </dxf>
    <dxf>
      <fill>
        <patternFill>
          <bgColor theme="7"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rgb="FF004F7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rgb="FF004F71"/>
        </patternFill>
      </fill>
    </dxf>
    <dxf>
      <font>
        <strike val="0"/>
        <outline val="0"/>
        <shadow val="0"/>
        <u val="none"/>
        <vertAlign val="baseline"/>
        <sz val="10"/>
        <name val="Calibri"/>
        <scheme val="minor"/>
      </font>
      <alignment horizontal="general" vertical="bottom" textRotation="0" wrapText="1" indent="0" justifyLastLine="0" shrinkToFit="0" readingOrder="0"/>
    </dxf>
    <dxf>
      <font>
        <strike val="0"/>
        <outline val="0"/>
        <shadow val="0"/>
        <u val="none"/>
        <vertAlign val="baseline"/>
        <sz val="10"/>
        <name val="Calibri"/>
        <scheme val="minor"/>
      </font>
      <alignment horizontal="center"/>
    </dxf>
    <dxf>
      <font>
        <strike val="0"/>
        <outline val="0"/>
        <shadow val="0"/>
        <u val="none"/>
        <vertAlign val="baseline"/>
        <sz val="10"/>
        <name val="Calibri"/>
        <scheme val="minor"/>
      </font>
      <numFmt numFmtId="166" formatCode="[$-409]d\-mmm\-yy;@"/>
      <alignment horizontal="center"/>
    </dxf>
    <dxf>
      <font>
        <strike val="0"/>
        <outline val="0"/>
        <shadow val="0"/>
        <u val="none"/>
        <vertAlign val="baseline"/>
        <sz val="10"/>
        <name val="Calibri"/>
        <scheme val="minor"/>
      </font>
      <numFmt numFmtId="166" formatCode="[$-409]d\-mmm\-yy;@"/>
      <alignment horizontal="cent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name val="Calibri"/>
        <scheme val="minor"/>
      </font>
      <alignment horizontal="center"/>
    </dxf>
    <dxf>
      <font>
        <strike val="0"/>
        <outline val="0"/>
        <shadow val="0"/>
        <u val="none"/>
        <vertAlign val="baseline"/>
        <sz val="10"/>
        <name val="Calibri"/>
        <scheme val="minor"/>
      </font>
      <alignment horizontal="center"/>
    </dxf>
    <dxf>
      <font>
        <strike val="0"/>
        <outline val="0"/>
        <shadow val="0"/>
        <u val="none"/>
        <vertAlign val="baseline"/>
        <sz val="10"/>
        <name val="Calibri"/>
        <scheme val="minor"/>
      </font>
      <alignment horizontal="center"/>
    </dxf>
    <dxf>
      <font>
        <strike val="0"/>
        <outline val="0"/>
        <shadow val="0"/>
        <u val="none"/>
        <vertAlign val="baseline"/>
        <sz val="10"/>
        <color rgb="FFFA4616"/>
        <name val="Calibri"/>
        <scheme val="minor"/>
      </font>
      <alignment vertical="bottom" textRotation="0" wrapText="1" justifyLastLine="0" shrinkToFit="0" readingOrder="0"/>
    </dxf>
    <dxf>
      <font>
        <b val="0"/>
        <i val="0"/>
        <strike val="0"/>
        <condense val="0"/>
        <extend val="0"/>
        <outline val="0"/>
        <shadow val="0"/>
        <u val="none"/>
        <vertAlign val="baseline"/>
        <sz val="10"/>
        <color theme="1"/>
        <name val="Calibri"/>
        <scheme val="minor"/>
      </font>
      <alignment horizontal="center"/>
    </dxf>
    <dxf>
      <font>
        <strike val="0"/>
        <outline val="0"/>
        <shadow val="0"/>
        <u val="none"/>
        <vertAlign val="baseline"/>
        <sz val="10"/>
        <name val="Calibri"/>
        <scheme val="minor"/>
      </font>
      <alignment horizontal="center"/>
    </dxf>
    <dxf>
      <border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0"/>
        <name val="Calibri"/>
        <scheme val="minor"/>
      </font>
    </dxf>
    <dxf>
      <font>
        <b/>
        <i val="0"/>
        <strike val="0"/>
        <condense val="0"/>
        <extend val="0"/>
        <outline val="0"/>
        <shadow val="0"/>
        <u val="none"/>
        <vertAlign val="baseline"/>
        <sz val="10"/>
        <color theme="0"/>
        <name val="Calibri"/>
        <scheme val="minor"/>
      </font>
      <fill>
        <patternFill patternType="solid">
          <fgColor indexed="64"/>
          <bgColor rgb="FFFA4616"/>
        </patternFill>
      </fill>
    </dxf>
    <dxf>
      <fill>
        <patternFill patternType="none">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alignment horizontal="general" vertical="top" textRotation="0" wrapText="1" indent="0" justifyLastLine="0" shrinkToFit="0" readingOrder="0"/>
    </dxf>
    <dxf>
      <font>
        <sz val="11"/>
      </font>
      <numFmt numFmtId="30" formatCode="@"/>
      <fill>
        <patternFill patternType="none">
          <bgColor auto="1"/>
        </patternFill>
      </fill>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val="0"/>
      </font>
      <fill>
        <patternFill patternType="none">
          <bgColor auto="1"/>
        </patternFill>
      </fill>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fill>
        <patternFill patternType="none">
          <fgColor theme="0" tint="-0.14999847407452621"/>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numFmt numFmtId="2" formatCode="0.00"/>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numFmt numFmtId="2" formatCode="0.00"/>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numFmt numFmtId="2" formatCode="0.00"/>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numFmt numFmtId="168" formatCode="[$-409]h:mm\ AM/PM;@"/>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6" tint="-0.499984740745262"/>
        <name val="Calibri"/>
        <family val="2"/>
        <scheme val="minor"/>
      </font>
      <numFmt numFmtId="168" formatCode="[$-409]h:mm\ AM/PM;@"/>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6" tint="-0.499984740745262"/>
        <name val="Calibri"/>
        <family val="2"/>
        <scheme val="minor"/>
      </font>
      <fill>
        <patternFill patternType="none">
          <fgColor theme="0" tint="-0.14999847407452621"/>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4F71"/>
        <name val="Calibri"/>
        <family val="2"/>
        <scheme val="minor"/>
      </font>
      <alignment horizontal="center" vertical="center"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4F71"/>
        <name val="Calibri"/>
        <family val="2"/>
        <scheme val="minor"/>
      </font>
      <numFmt numFmtId="0" formatCode="General"/>
      <fill>
        <patternFill patternType="none">
          <fgColor theme="0" tint="-0.14999847407452621"/>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dxf>
    <dxf>
      <border>
        <bottom style="thin">
          <color indexed="64"/>
        </bottom>
      </border>
    </dxf>
    <dxf>
      <font>
        <b/>
        <i val="0"/>
        <strike val="0"/>
        <condense val="0"/>
        <extend val="0"/>
        <outline val="0"/>
        <shadow val="0"/>
        <u val="none"/>
        <vertAlign val="baseline"/>
        <sz val="14"/>
        <color theme="6" tint="-0.499984740745262"/>
        <name val="Calibri"/>
        <family val="2"/>
        <scheme val="minor"/>
      </font>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ill>
        <patternFill>
          <bgColor theme="0" tint="-4.9989318521683403E-2"/>
        </patternFill>
      </fill>
    </dxf>
    <dxf>
      <font>
        <b/>
        <i val="0"/>
        <color theme="0" tint="-4.9989318521683403E-2"/>
      </font>
      <fill>
        <patternFill patternType="solid">
          <fgColor auto="1"/>
          <bgColor theme="1" tint="0.14996795556505021"/>
        </patternFill>
      </fill>
      <border>
        <vertical/>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2" defaultTableStyle="TableStyleMedium2" defaultPivotStyle="PivotStyleLight16">
    <tableStyle name="Table Style 1" pivot="0" count="3" xr9:uid="{BBCA2733-9E08-F741-9FED-FF96340F9CB6}">
      <tableStyleElement type="wholeTable" dxfId="123"/>
      <tableStyleElement type="headerRow" dxfId="122"/>
      <tableStyleElement type="firstRowStripe" dxfId="121"/>
    </tableStyle>
    <tableStyle name="ToDoList" pivot="0" count="9" xr9:uid="{57FAE645-DB56-435E-ACC7-D9C4892F23C9}">
      <tableStyleElement type="wholeTable" dxfId="120"/>
      <tableStyleElement type="headerRow" dxfId="119"/>
      <tableStyleElement type="totalRow" dxfId="118"/>
      <tableStyleElement type="firstColumn" dxfId="117"/>
      <tableStyleElement type="lastColumn" dxfId="116"/>
      <tableStyleElement type="firstRowStripe" dxfId="115"/>
      <tableStyleElement type="secondRowStripe" dxfId="114"/>
      <tableStyleElement type="firstColumnStripe" dxfId="113"/>
      <tableStyleElement type="secondColumnStripe" dxfId="112"/>
    </tableStyle>
  </tableStyles>
  <colors>
    <mruColors>
      <color rgb="FF004F71"/>
      <color rgb="FFFA4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vithiit.sharepoint.com/Users/AmberOSullivan/Desktop/SONIC_LMS_Implementation_Workbook_2020.01.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llis\Box%20Sync\Client%20Projects%20Folder\United%20Parcel%20Service\ProjectDocumentation\01_ProjectManagementandGovernance\02_WeeklyStatusReportandLogs\UPS%20Functional%20and%20Integration%20Status%20Report%20010417.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vithiit.sharepoint.com/Users/AmberOSullivan/Box%20Sync/Columbus%20State%20Community%20College/Project%20Documentation/01_ProjectManagementandGovernance/02_WeeklyStatusReportandLogs/CSOD%20Project%20Dashboard%20and%20Weekly%20Status_CSCC.xlsx?F8709038" TargetMode="External"/><Relationship Id="rId1" Type="http://schemas.openxmlformats.org/officeDocument/2006/relationships/externalLinkPath" Target="file:///\\F8709038\CSOD%20Project%20Dashboard%20and%20Weekly%20Status_CSCC.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jvandrei\Downloads\Telephone%20conversation%20tracker%20for%20incoming%20and%20outgoing%20calls%20(1).xlsx" TargetMode="External"/><Relationship Id="rId1" Type="http://schemas.openxmlformats.org/officeDocument/2006/relationships/externalLinkPath" Target="https://vithiit.sharepoint.com/Users/jvandrei/Downloads/Telephone%20conversation%20tracker%20for%20incoming%20and%20outgoing%20call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eting Schedule &amp; Agendas"/>
      <sheetName val="Meetings Schedule &amp; Agendas"/>
      <sheetName val="Core Config Checklist"/>
      <sheetName val="LMS Config Checklist"/>
      <sheetName val="Sheet7"/>
      <sheetName val="Action Items Tracking Log"/>
      <sheetName val="Configuration Checklist - LMS"/>
      <sheetName val="Core Config INSPIRE"/>
      <sheetName val="Core Preferences"/>
      <sheetName val="LEarning Preferences"/>
      <sheetName val="Configuration Checklist - CORE"/>
      <sheetName val="data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al Status Report"/>
      <sheetName val="Technical Status Report"/>
      <sheetName val="RAID"/>
      <sheetName val="Contacts"/>
      <sheetName val="Drop-down"/>
      <sheetName val="Project Summary"/>
      <sheetName val="Action Items Log"/>
      <sheetName val="Risks and Issues"/>
      <sheetName val="Enhancement Requests"/>
      <sheetName val="Lists"/>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Dashboard"/>
      <sheetName val="Contacts"/>
      <sheetName val="Risks and Issues"/>
      <sheetName val="Weekly Checklist"/>
      <sheetName val="Go Live Checklist - LMS"/>
      <sheetName val="Enhancement Requests"/>
      <sheetName val="List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ls in"/>
      <sheetName val="Calls out"/>
      <sheetName val="Telephone conversation tracker "/>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Julie Wuebker" id="{A370F45C-98AB-400B-811A-D11C07420E9F}" userId="S::jwuebker@csod.com::b5b0a6cd-0d73-4c09-823b-7b9a373bba2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B01102-7A8F-4114-9477-8B44D4402548}" name="Table46" displayName="Table46" ref="A2:L14" totalsRowShown="0" headerRowDxfId="111" dataDxfId="109" headerRowBorderDxfId="110" tableBorderDxfId="108" totalsRowBorderDxfId="107" headerRowCellStyle="Normal 7">
  <autoFilter ref="A2:L14" xr:uid="{5EB01102-7A8F-4114-9477-8B44D4402548}"/>
  <tableColumns count="12">
    <tableColumn id="1" xr3:uid="{9A14465C-5B13-4D3E-B3BA-0E60315E7335}" name="Topic #" dataDxfId="106" totalsRowDxfId="105" dataCellStyle="Date"/>
    <tableColumn id="2" xr3:uid="{8E8339D8-CFD7-4AE3-963A-B16DD50BB3F7}" name="Track" dataDxfId="104" totalsRowDxfId="103" dataCellStyle="Time"/>
    <tableColumn id="3" xr3:uid="{F54DD47E-9040-4166-B29A-A12A2617F748}" name="Phase" dataDxfId="102" totalsRowDxfId="101" dataCellStyle="Time"/>
    <tableColumn id="4" xr3:uid="{F2518626-73DE-48A8-AC22-709B04D73A22}" name="Session Date &amp; Time" dataDxfId="100" totalsRowDxfId="99" dataCellStyle="Normal 7"/>
    <tableColumn id="5" xr3:uid="{C123CA84-EAE4-4B41-A102-2A70C3F90259}" name="High End Hours" dataDxfId="98" totalsRowDxfId="97" dataCellStyle="Phone"/>
    <tableColumn id="6" xr3:uid="{D48E9437-CEB6-4F7B-BC08-538D0261D95E}" name="Low End Hours" dataDxfId="96" totalsRowDxfId="95" dataCellStyle="Normal 7"/>
    <tableColumn id="7" xr3:uid="{AAEBD10F-C5D8-4B6F-BAAB-E36F4EA86D3D}" name="Average Hours" dataDxfId="94" totalsRowDxfId="93" dataCellStyle="Normal 7">
      <calculatedColumnFormula>AVERAGE(Table46[[#This Row],[High End Hours]],Table46[[#This Row],[Low End Hours]])</calculatedColumnFormula>
    </tableColumn>
    <tableColumn id="8" xr3:uid="{F26CD430-BA40-4283-B2ED-96CF8CCBF12B}" name="Attendees" dataDxfId="92" totalsRowDxfId="91" dataCellStyle="Normal 7"/>
    <tableColumn id="9" xr3:uid="{3858B128-2212-4CE8-B4EE-20D321A82066}" name="Topics" dataDxfId="90" totalsRowDxfId="89" dataCellStyle="Normal 7"/>
    <tableColumn id="10" xr3:uid="{29D536D0-F4A4-4452-AC40-2D5EC23F144F}" name="Agenda" dataDxfId="88" totalsRowDxfId="87"/>
    <tableColumn id="11" xr3:uid="{87C4257A-E614-4E8A-8590-EFE8C6D0F317}" name="Training Titles " dataDxfId="86" totalsRowDxfId="85"/>
    <tableColumn id="12" xr3:uid="{4FC0F01D-A4E5-4227-9B4C-1DB9FCBB1033}" name="Notes" dataDxfId="8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E1E37B-B332-4B92-B053-817627C4311C}" name="Table1" displayName="Table1" ref="A2:K77" totalsRowShown="0" headerRowDxfId="83" dataDxfId="82" tableBorderDxfId="81">
  <autoFilter ref="A2:K77" xr:uid="{00000000-0009-0000-0100-000003000000}"/>
  <tableColumns count="11">
    <tableColumn id="1" xr3:uid="{460ECD83-5E19-7240-8D98-441E49016D10}" name="ID" dataDxfId="80"/>
    <tableColumn id="10" xr3:uid="{F5319551-BF72-4D43-A739-0AAA2ABD7065}" name="Date Logged" dataDxfId="79"/>
    <tableColumn id="2" xr3:uid="{60811633-9378-4249-8C2F-B046E498B48B}" name="Specific Description" dataDxfId="78"/>
    <tableColumn id="3" xr3:uid="{23FF4B58-C9D7-3C43-A70B-CFDC7D0A3F01}" name="Risk | Issue | Action | Decision " dataDxfId="77"/>
    <tableColumn id="4" xr3:uid="{B57C4363-4461-054F-865A-F6BC5741AABE}" name="Status" dataDxfId="76"/>
    <tableColumn id="5" xr3:uid="{EB861F55-3D6F-B74B-9035-DA87BCD43553}" name="Priority" dataDxfId="75"/>
    <tableColumn id="11" xr3:uid="{0C0EBA06-29AC-4EBF-9E59-8952F7C00FC1}" name="Go Live Blocker" dataDxfId="74" dataCellStyle="Normal 3 2"/>
    <tableColumn id="6" xr3:uid="{45B9EB44-8712-114C-84FC-7AC13D370DEB}" name="Due Date" dataDxfId="73"/>
    <tableColumn id="7" xr3:uid="{2CB9407F-901E-9C41-9001-25C42C9A2BDB}" name="Closed Date" dataDxfId="72"/>
    <tableColumn id="8" xr3:uid="{F120C2CF-F635-BF4C-82A1-7537D803786D}" name="Owner" dataDxfId="71"/>
    <tableColumn id="9" xr3:uid="{A849F14E-F7DA-B64D-B97C-DFDED6B83A3D}" name="Notes" dataDxfId="70"/>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195C64-BF9F-42CE-9FD1-8A24144566FA}" name="Milestones4352" displayName="Milestones4352" ref="B7:E30" totalsRowShown="0" headerRowDxfId="69" dataDxfId="68">
  <autoFilter ref="B7:E30" xr:uid="{29E5A880-80D5-4B65-B5FB-8FB3913D3D27}">
    <filterColumn colId="0" hiddenButton="1"/>
    <filterColumn colId="1" hiddenButton="1"/>
    <filterColumn colId="2" hiddenButton="1"/>
    <filterColumn colId="3" hiddenButton="1"/>
  </autoFilter>
  <tableColumns count="4">
    <tableColumn id="1" xr3:uid="{619BF8F6-D0F1-41AD-871D-FE0240C45A93}" name="Milestone description" dataDxfId="67"/>
    <tableColumn id="4" xr3:uid="{8385BC6F-56EE-4363-A106-8DB0A1E4EF5A}" name="Progress" dataDxfId="66"/>
    <tableColumn id="5" xr3:uid="{02926609-7B93-4B6F-BE96-92EC7A949E4B}" name="Start" dataDxfId="65" dataCellStyle="Date"/>
    <tableColumn id="6" xr3:uid="{8FF9BE8E-04B7-4B39-AC27-D2E534204BC3}" name="Days" dataDxfId="64"/>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715F70-57F1-45A9-87C7-6C4936BC91F1}" name="Milestones43524" displayName="Milestones43524" ref="B9:F30" totalsRowShown="0" headerRowDxfId="63" dataDxfId="62">
  <autoFilter ref="B9:F30" xr:uid="{29E5A880-80D5-4B65-B5FB-8FB3913D3D27}">
    <filterColumn colId="0" hiddenButton="1"/>
    <filterColumn colId="1" hiddenButton="1"/>
    <filterColumn colId="2" hiddenButton="1"/>
    <filterColumn colId="3" hiddenButton="1"/>
    <filterColumn colId="4" hiddenButton="1"/>
  </autoFilter>
  <tableColumns count="5">
    <tableColumn id="1" xr3:uid="{619BF8F6-D0F1-41AD-871D-FE0240C45A93}" name="Milestone description" dataDxfId="61"/>
    <tableColumn id="2" xr3:uid="{39BD914E-FB02-4352-846C-6D59624DC0B0}" name="Category" dataDxfId="60"/>
    <tableColumn id="4" xr3:uid="{8385BC6F-56EE-4363-A106-8DB0A1E4EF5A}" name="Progress" dataDxfId="59"/>
    <tableColumn id="5" xr3:uid="{02926609-7B93-4B6F-BE96-92EC7A949E4B}" name="Start" dataDxfId="58" dataCellStyle="Date"/>
    <tableColumn id="6" xr3:uid="{8FF9BE8E-04B7-4B39-AC27-D2E534204BC3}" name="Days" dataDxfId="57"/>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dT="2024-02-20T13:00:39.17" personId="{A370F45C-98AB-400B-811A-D11C07420E9F}" id="{856A13DA-42A1-4508-9F42-0189A6CA9992}">
    <text xml:space="preserve">Goes into the Edge Project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cornerstoneu.csod.com/ui/lms-learning-details/app/curriculum/049ff173-ef40-4311-a8de-b8df7d9bed9a" TargetMode="External"/><Relationship Id="rId2" Type="http://schemas.openxmlformats.org/officeDocument/2006/relationships/hyperlink" Target="https://cornerstoneu.csod.com/ui/lms-learning-details/app/curriculum/049ff173-ef40-4311-a8de-b8df7d9bed9a" TargetMode="External"/><Relationship Id="rId1" Type="http://schemas.openxmlformats.org/officeDocument/2006/relationships/hyperlink" Target="https://help.csod.com/help/csod_0/Content/User/Reporting_Overview.htm" TargetMode="Externa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5C42-BFCD-46C5-923E-4353CB8AFDA9}">
  <dimension ref="A1:G26"/>
  <sheetViews>
    <sheetView workbookViewId="0">
      <selection activeCell="H20" sqref="H20"/>
    </sheetView>
  </sheetViews>
  <sheetFormatPr defaultColWidth="8" defaultRowHeight="15.6"/>
  <cols>
    <col min="1" max="1" width="14.3984375" style="192" bestFit="1" customWidth="1"/>
    <col min="2" max="2" width="16.69921875" style="192" customWidth="1"/>
    <col min="3" max="3" width="48.8984375" style="192" customWidth="1"/>
    <col min="4" max="16384" width="8" style="192"/>
  </cols>
  <sheetData>
    <row r="1" spans="1:7" ht="31.2" customHeight="1">
      <c r="A1" s="284" t="s">
        <v>0</v>
      </c>
      <c r="B1" s="284"/>
      <c r="C1" s="284"/>
      <c r="D1" s="284"/>
      <c r="E1" s="284"/>
      <c r="F1" s="284"/>
      <c r="G1" s="284"/>
    </row>
    <row r="2" spans="1:7" ht="109.2" customHeight="1">
      <c r="A2" s="285" t="s">
        <v>1</v>
      </c>
      <c r="B2" s="285"/>
      <c r="C2" s="285"/>
      <c r="D2" s="285"/>
      <c r="E2" s="285"/>
      <c r="F2" s="285"/>
      <c r="G2" s="285"/>
    </row>
    <row r="3" spans="1:7">
      <c r="A3" s="193" t="s">
        <v>2</v>
      </c>
      <c r="B3" s="193" t="s">
        <v>3</v>
      </c>
      <c r="C3" s="286" t="s">
        <v>4</v>
      </c>
      <c r="D3" s="286"/>
      <c r="E3" s="286"/>
      <c r="F3" s="286"/>
      <c r="G3" s="286"/>
    </row>
    <row r="4" spans="1:7">
      <c r="A4" s="194">
        <v>45959</v>
      </c>
      <c r="B4" s="192" t="s">
        <v>5</v>
      </c>
      <c r="C4" s="283" t="s">
        <v>6</v>
      </c>
      <c r="D4" s="283"/>
      <c r="E4" s="283"/>
      <c r="F4" s="283"/>
      <c r="G4" s="283"/>
    </row>
    <row r="5" spans="1:7">
      <c r="A5" s="194">
        <v>45687</v>
      </c>
      <c r="B5" s="192" t="s">
        <v>5</v>
      </c>
      <c r="C5" s="283" t="s">
        <v>7</v>
      </c>
      <c r="D5" s="283"/>
      <c r="E5" s="283"/>
      <c r="F5" s="283"/>
      <c r="G5" s="283"/>
    </row>
    <row r="6" spans="1:7">
      <c r="C6" s="283"/>
      <c r="D6" s="283"/>
      <c r="E6" s="283"/>
      <c r="F6" s="283"/>
      <c r="G6" s="283"/>
    </row>
    <row r="7" spans="1:7">
      <c r="C7" s="283"/>
      <c r="D7" s="283"/>
      <c r="E7" s="283"/>
      <c r="F7" s="283"/>
      <c r="G7" s="283"/>
    </row>
    <row r="8" spans="1:7">
      <c r="C8" s="283"/>
      <c r="D8" s="283"/>
      <c r="E8" s="283"/>
      <c r="F8" s="283"/>
      <c r="G8" s="283"/>
    </row>
    <row r="9" spans="1:7">
      <c r="C9" s="283"/>
      <c r="D9" s="283"/>
      <c r="E9" s="283"/>
      <c r="F9" s="283"/>
      <c r="G9" s="283"/>
    </row>
    <row r="10" spans="1:7">
      <c r="C10" s="283"/>
      <c r="D10" s="283"/>
      <c r="E10" s="283"/>
      <c r="F10" s="283"/>
      <c r="G10" s="283"/>
    </row>
    <row r="11" spans="1:7">
      <c r="C11" s="283"/>
      <c r="D11" s="283"/>
      <c r="E11" s="283"/>
      <c r="F11" s="283"/>
      <c r="G11" s="283"/>
    </row>
    <row r="12" spans="1:7">
      <c r="C12" s="283"/>
      <c r="D12" s="283"/>
      <c r="E12" s="283"/>
      <c r="F12" s="283"/>
      <c r="G12" s="283"/>
    </row>
    <row r="13" spans="1:7">
      <c r="C13" s="283"/>
      <c r="D13" s="283"/>
      <c r="E13" s="283"/>
      <c r="F13" s="283"/>
      <c r="G13" s="283"/>
    </row>
    <row r="14" spans="1:7">
      <c r="C14" s="283"/>
      <c r="D14" s="283"/>
      <c r="E14" s="283"/>
      <c r="F14" s="283"/>
      <c r="G14" s="283"/>
    </row>
    <row r="15" spans="1:7">
      <c r="C15" s="283"/>
      <c r="D15" s="283"/>
      <c r="E15" s="283"/>
      <c r="F15" s="283"/>
      <c r="G15" s="283"/>
    </row>
    <row r="16" spans="1:7">
      <c r="C16" s="283"/>
      <c r="D16" s="283"/>
      <c r="E16" s="283"/>
      <c r="F16" s="283"/>
      <c r="G16" s="283"/>
    </row>
    <row r="17" spans="3:7">
      <c r="C17" s="283"/>
      <c r="D17" s="283"/>
      <c r="E17" s="283"/>
      <c r="F17" s="283"/>
      <c r="G17" s="283"/>
    </row>
    <row r="18" spans="3:7">
      <c r="C18" s="283"/>
      <c r="D18" s="283"/>
      <c r="E18" s="283"/>
      <c r="F18" s="283"/>
      <c r="G18" s="283"/>
    </row>
    <row r="19" spans="3:7">
      <c r="C19" s="283"/>
      <c r="D19" s="283"/>
      <c r="E19" s="283"/>
      <c r="F19" s="283"/>
      <c r="G19" s="283"/>
    </row>
    <row r="20" spans="3:7">
      <c r="C20" s="283"/>
      <c r="D20" s="283"/>
      <c r="E20" s="283"/>
      <c r="F20" s="283"/>
      <c r="G20" s="283"/>
    </row>
    <row r="21" spans="3:7">
      <c r="C21" s="283"/>
      <c r="D21" s="283"/>
      <c r="E21" s="283"/>
      <c r="F21" s="283"/>
      <c r="G21" s="283"/>
    </row>
    <row r="22" spans="3:7">
      <c r="C22" s="283"/>
      <c r="D22" s="283"/>
      <c r="E22" s="283"/>
      <c r="F22" s="283"/>
      <c r="G22" s="283"/>
    </row>
    <row r="23" spans="3:7">
      <c r="C23" s="283"/>
      <c r="D23" s="283"/>
      <c r="E23" s="283"/>
      <c r="F23" s="283"/>
      <c r="G23" s="283"/>
    </row>
    <row r="24" spans="3:7">
      <c r="C24" s="283"/>
      <c r="D24" s="283"/>
      <c r="E24" s="283"/>
      <c r="F24" s="283"/>
      <c r="G24" s="283"/>
    </row>
    <row r="25" spans="3:7">
      <c r="C25" s="283"/>
      <c r="D25" s="283"/>
      <c r="E25" s="283"/>
      <c r="F25" s="283"/>
      <c r="G25" s="283"/>
    </row>
    <row r="26" spans="3:7">
      <c r="C26" s="283"/>
      <c r="D26" s="283"/>
      <c r="E26" s="283"/>
      <c r="F26" s="283"/>
      <c r="G26" s="283"/>
    </row>
  </sheetData>
  <mergeCells count="26">
    <mergeCell ref="C25:G25"/>
    <mergeCell ref="C26:G26"/>
    <mergeCell ref="C19:G19"/>
    <mergeCell ref="C20:G20"/>
    <mergeCell ref="C21:G21"/>
    <mergeCell ref="C22:G22"/>
    <mergeCell ref="C23:G23"/>
    <mergeCell ref="C24:G24"/>
    <mergeCell ref="C18:G18"/>
    <mergeCell ref="C7:G7"/>
    <mergeCell ref="C8:G8"/>
    <mergeCell ref="C9:G9"/>
    <mergeCell ref="C10:G10"/>
    <mergeCell ref="C11:G11"/>
    <mergeCell ref="C12:G12"/>
    <mergeCell ref="C13:G13"/>
    <mergeCell ref="C14:G14"/>
    <mergeCell ref="C15:G15"/>
    <mergeCell ref="C16:G16"/>
    <mergeCell ref="C17:G17"/>
    <mergeCell ref="C6:G6"/>
    <mergeCell ref="A1:G1"/>
    <mergeCell ref="A2:G2"/>
    <mergeCell ref="C3:G3"/>
    <mergeCell ref="C4:G4"/>
    <mergeCell ref="C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2723-267C-C249-A997-9DDC232136A7}">
  <dimension ref="A1:M36"/>
  <sheetViews>
    <sheetView workbookViewId="0">
      <selection activeCell="A25" sqref="A25"/>
    </sheetView>
  </sheetViews>
  <sheetFormatPr defaultColWidth="8.69921875" defaultRowHeight="14.4"/>
  <cols>
    <col min="1" max="1" width="9" style="2" bestFit="1" customWidth="1"/>
    <col min="2" max="2" width="13" style="2" bestFit="1" customWidth="1"/>
    <col min="3" max="3" width="7.5" style="2" bestFit="1" customWidth="1"/>
    <col min="4" max="4" width="6.09765625" style="2" bestFit="1" customWidth="1"/>
    <col min="5" max="5" width="8" style="2" bestFit="1" customWidth="1"/>
    <col min="6" max="7" width="8.69921875" style="2"/>
    <col min="8" max="8" width="9.69921875" style="2" bestFit="1" customWidth="1"/>
    <col min="9" max="9" width="6" style="2" bestFit="1" customWidth="1"/>
    <col min="10" max="10" width="4.59765625" style="2" bestFit="1" customWidth="1"/>
    <col min="11" max="11" width="8.69921875" style="2"/>
    <col min="12" max="12" width="24.5" style="2" customWidth="1"/>
    <col min="13" max="13" width="66" style="2" customWidth="1"/>
    <col min="14" max="16384" width="8.69921875" style="2"/>
  </cols>
  <sheetData>
    <row r="1" spans="1:13" ht="15.6">
      <c r="A1" s="1" t="s">
        <v>8</v>
      </c>
      <c r="B1" s="1" t="s">
        <v>9</v>
      </c>
      <c r="C1" s="1" t="s">
        <v>10</v>
      </c>
      <c r="D1" s="1" t="s">
        <v>11</v>
      </c>
      <c r="E1" s="1" t="s">
        <v>12</v>
      </c>
      <c r="H1" s="287" t="s">
        <v>13</v>
      </c>
      <c r="I1" s="288"/>
      <c r="J1" s="288"/>
      <c r="L1" s="169" t="s">
        <v>9</v>
      </c>
      <c r="M1" s="169" t="s">
        <v>14</v>
      </c>
    </row>
    <row r="2" spans="1:13" ht="15.6">
      <c r="A2" s="2" t="s">
        <v>15</v>
      </c>
      <c r="B2" s="2" t="s">
        <v>16</v>
      </c>
      <c r="C2" s="2" t="s">
        <v>17</v>
      </c>
      <c r="D2" s="2" t="s">
        <v>18</v>
      </c>
      <c r="E2" s="2" t="s">
        <v>19</v>
      </c>
      <c r="H2" s="2" t="s">
        <v>18</v>
      </c>
      <c r="I2" s="4" t="s">
        <v>20</v>
      </c>
      <c r="J2" s="5">
        <v>0.8</v>
      </c>
      <c r="L2" s="187" t="s">
        <v>16</v>
      </c>
      <c r="M2" s="187" t="s">
        <v>21</v>
      </c>
    </row>
    <row r="3" spans="1:13" ht="15.6">
      <c r="A3" s="2" t="s">
        <v>22</v>
      </c>
      <c r="B3" s="2" t="s">
        <v>23</v>
      </c>
      <c r="C3" s="2" t="s">
        <v>24</v>
      </c>
      <c r="D3" s="2" t="s">
        <v>25</v>
      </c>
      <c r="E3" s="2" t="s">
        <v>26</v>
      </c>
      <c r="H3" s="2" t="s">
        <v>25</v>
      </c>
      <c r="I3" s="6" t="s">
        <v>18</v>
      </c>
      <c r="J3" s="7">
        <v>0.5</v>
      </c>
      <c r="L3" s="187" t="s">
        <v>27</v>
      </c>
      <c r="M3" s="187" t="s">
        <v>28</v>
      </c>
    </row>
    <row r="4" spans="1:13" ht="15.6">
      <c r="A4" s="2" t="s">
        <v>29</v>
      </c>
      <c r="B4" s="2" t="s">
        <v>30</v>
      </c>
      <c r="C4" s="2" t="s">
        <v>31</v>
      </c>
      <c r="D4" s="2" t="s">
        <v>20</v>
      </c>
      <c r="E4" s="2" t="s">
        <v>32</v>
      </c>
      <c r="H4" s="2" t="s">
        <v>20</v>
      </c>
      <c r="I4" s="8" t="s">
        <v>33</v>
      </c>
      <c r="J4" s="9">
        <v>0.7</v>
      </c>
      <c r="L4" s="187" t="s">
        <v>23</v>
      </c>
      <c r="M4" s="187" t="s">
        <v>34</v>
      </c>
    </row>
    <row r="5" spans="1:13" ht="31.2">
      <c r="A5" s="2" t="s">
        <v>35</v>
      </c>
      <c r="B5" s="2" t="s">
        <v>36</v>
      </c>
      <c r="E5" s="2" t="s">
        <v>37</v>
      </c>
      <c r="H5" s="2" t="s">
        <v>38</v>
      </c>
      <c r="I5" s="10" t="s">
        <v>20</v>
      </c>
      <c r="J5" s="11">
        <v>1</v>
      </c>
      <c r="L5" s="187" t="s">
        <v>39</v>
      </c>
      <c r="M5" s="187" t="s">
        <v>40</v>
      </c>
    </row>
    <row r="6" spans="1:13" ht="15.6">
      <c r="A6" s="2" t="s">
        <v>41</v>
      </c>
      <c r="L6" s="187" t="s">
        <v>42</v>
      </c>
      <c r="M6" s="187" t="s">
        <v>43</v>
      </c>
    </row>
    <row r="7" spans="1:13" ht="31.2">
      <c r="A7" s="2" t="s">
        <v>44</v>
      </c>
      <c r="L7" s="187" t="s">
        <v>45</v>
      </c>
      <c r="M7" s="187" t="s">
        <v>46</v>
      </c>
    </row>
    <row r="8" spans="1:13" ht="15.6">
      <c r="A8" s="2" t="s">
        <v>47</v>
      </c>
      <c r="L8" s="187" t="s">
        <v>48</v>
      </c>
      <c r="M8" s="187" t="s">
        <v>49</v>
      </c>
    </row>
    <row r="9" spans="1:13" ht="15.6">
      <c r="L9" s="187" t="s">
        <v>30</v>
      </c>
      <c r="M9" s="187" t="s">
        <v>50</v>
      </c>
    </row>
    <row r="10" spans="1:13" ht="15.6">
      <c r="L10" s="187" t="s">
        <v>51</v>
      </c>
      <c r="M10" s="187" t="s">
        <v>52</v>
      </c>
    </row>
    <row r="11" spans="1:13" ht="15.6">
      <c r="L11" s="187" t="s">
        <v>53</v>
      </c>
      <c r="M11" s="187" t="s">
        <v>54</v>
      </c>
    </row>
    <row r="12" spans="1:13">
      <c r="A12" s="3" t="e">
        <f>+#REF!</f>
        <v>#REF!</v>
      </c>
      <c r="B12" s="12" t="e">
        <f>+C12/$C$15</f>
        <v>#REF!</v>
      </c>
      <c r="C12" s="3" t="e">
        <f>+#REF!</f>
        <v>#REF!</v>
      </c>
    </row>
    <row r="13" spans="1:13">
      <c r="A13" s="3" t="e">
        <f>+#REF!</f>
        <v>#REF!</v>
      </c>
      <c r="B13" s="12" t="e">
        <f>+C13/$C$15</f>
        <v>#REF!</v>
      </c>
      <c r="C13" s="3" t="e">
        <f>+#REF!</f>
        <v>#REF!</v>
      </c>
    </row>
    <row r="14" spans="1:13">
      <c r="A14" s="3" t="e">
        <f>+#REF!</f>
        <v>#REF!</v>
      </c>
      <c r="B14" s="12" t="e">
        <f>+C14/$C$15</f>
        <v>#REF!</v>
      </c>
      <c r="C14" s="3" t="e">
        <f>+#REF!</f>
        <v>#REF!</v>
      </c>
    </row>
    <row r="15" spans="1:13">
      <c r="A15" s="3"/>
      <c r="B15" s="12" t="e">
        <f>SUM(B12:B14)</f>
        <v>#REF!</v>
      </c>
      <c r="C15" s="3" t="e">
        <f>SUM(C12:C14)</f>
        <v>#REF!</v>
      </c>
    </row>
    <row r="17" spans="1:10" ht="15.6">
      <c r="A17" s="247" t="s">
        <v>37</v>
      </c>
      <c r="B17" s="68" t="s">
        <v>38</v>
      </c>
      <c r="C17" s="70" t="s">
        <v>17</v>
      </c>
      <c r="D17" s="248" t="s">
        <v>55</v>
      </c>
      <c r="H17" s="13"/>
      <c r="I17" s="13"/>
      <c r="J17" s="13"/>
    </row>
    <row r="18" spans="1:10">
      <c r="A18" s="247" t="s">
        <v>32</v>
      </c>
      <c r="B18" s="247" t="s">
        <v>56</v>
      </c>
      <c r="C18" s="248" t="s">
        <v>57</v>
      </c>
      <c r="D18" s="248" t="s">
        <v>58</v>
      </c>
      <c r="H18" s="14"/>
      <c r="I18" s="14"/>
      <c r="J18" s="14"/>
    </row>
    <row r="19" spans="1:10">
      <c r="A19" s="247" t="s">
        <v>59</v>
      </c>
      <c r="B19" s="247" t="s">
        <v>30</v>
      </c>
      <c r="C19" s="248" t="s">
        <v>31</v>
      </c>
      <c r="H19" s="14"/>
      <c r="I19" s="14"/>
      <c r="J19" s="14"/>
    </row>
    <row r="20" spans="1:10">
      <c r="A20" s="247" t="s">
        <v>60</v>
      </c>
      <c r="B20" s="69"/>
      <c r="H20" s="14"/>
      <c r="I20" s="14"/>
      <c r="J20" s="14"/>
    </row>
    <row r="21" spans="1:10">
      <c r="A21" s="69"/>
      <c r="B21" s="69"/>
      <c r="H21" s="14"/>
      <c r="I21" s="14"/>
      <c r="J21" s="14"/>
    </row>
    <row r="22" spans="1:10">
      <c r="H22" s="14"/>
      <c r="I22" s="14"/>
      <c r="J22" s="14"/>
    </row>
    <row r="23" spans="1:10" ht="15.6">
      <c r="A23" s="169" t="s">
        <v>10</v>
      </c>
      <c r="B23" s="290" t="s">
        <v>61</v>
      </c>
      <c r="C23" s="290"/>
      <c r="D23" s="290"/>
      <c r="E23" s="290"/>
      <c r="F23" s="290"/>
      <c r="H23" s="14"/>
      <c r="I23" s="14"/>
      <c r="J23" s="14"/>
    </row>
    <row r="24" spans="1:10" ht="15.6">
      <c r="A24" s="170" t="s">
        <v>62</v>
      </c>
      <c r="B24" s="289" t="s">
        <v>63</v>
      </c>
      <c r="C24" s="289"/>
      <c r="D24" s="289"/>
      <c r="E24" s="289"/>
      <c r="F24" s="289"/>
      <c r="H24" s="14"/>
      <c r="I24" s="14"/>
      <c r="J24" s="14"/>
    </row>
    <row r="25" spans="1:10" ht="15.6">
      <c r="A25" s="170" t="s">
        <v>24</v>
      </c>
      <c r="B25" s="289" t="s">
        <v>64</v>
      </c>
      <c r="C25" s="289"/>
      <c r="D25" s="289"/>
      <c r="E25" s="289"/>
      <c r="F25" s="289"/>
      <c r="H25" s="14"/>
      <c r="I25" s="14"/>
      <c r="J25" s="14"/>
    </row>
    <row r="26" spans="1:10" ht="15.6">
      <c r="A26" s="170" t="s">
        <v>31</v>
      </c>
      <c r="B26" s="289" t="s">
        <v>65</v>
      </c>
      <c r="C26" s="289"/>
      <c r="D26" s="289"/>
      <c r="E26" s="289"/>
      <c r="F26" s="289"/>
      <c r="H26" s="14"/>
      <c r="I26" s="14"/>
      <c r="J26" s="14"/>
    </row>
    <row r="27" spans="1:10">
      <c r="H27" s="14"/>
      <c r="I27" s="14"/>
      <c r="J27" s="14"/>
    </row>
    <row r="28" spans="1:10">
      <c r="H28" s="14"/>
      <c r="I28" s="14"/>
      <c r="J28" s="14"/>
    </row>
    <row r="29" spans="1:10">
      <c r="H29" s="14"/>
      <c r="I29" s="14"/>
      <c r="J29" s="14"/>
    </row>
    <row r="30" spans="1:10">
      <c r="H30" s="14"/>
      <c r="I30" s="14"/>
      <c r="J30" s="14"/>
    </row>
    <row r="31" spans="1:10">
      <c r="H31" s="14"/>
      <c r="I31" s="14"/>
      <c r="J31" s="14"/>
    </row>
    <row r="32" spans="1:10">
      <c r="H32" s="14"/>
      <c r="I32" s="14"/>
      <c r="J32" s="14"/>
    </row>
    <row r="33" spans="8:10">
      <c r="H33" s="14"/>
      <c r="I33" s="14"/>
      <c r="J33" s="14"/>
    </row>
    <row r="34" spans="8:10">
      <c r="H34" s="14"/>
      <c r="I34" s="14"/>
      <c r="J34" s="14"/>
    </row>
    <row r="35" spans="8:10">
      <c r="H35" s="14"/>
      <c r="I35" s="14"/>
      <c r="J35" s="14"/>
    </row>
    <row r="36" spans="8:10">
      <c r="H36" s="14"/>
      <c r="I36" s="14"/>
      <c r="J36" s="14"/>
    </row>
  </sheetData>
  <mergeCells count="5">
    <mergeCell ref="H1:J1"/>
    <mergeCell ref="B24:F24"/>
    <mergeCell ref="B25:F25"/>
    <mergeCell ref="B26:F26"/>
    <mergeCell ref="B23:F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3E65-4802-4D57-BAF8-39B81E6C5119}">
  <sheetPr>
    <tabColor rgb="FF004F71"/>
  </sheetPr>
  <dimension ref="A1:X39"/>
  <sheetViews>
    <sheetView zoomScaleNormal="100" workbookViewId="0">
      <selection sqref="A1:B1"/>
    </sheetView>
  </sheetViews>
  <sheetFormatPr defaultColWidth="27.19921875" defaultRowHeight="13.8"/>
  <cols>
    <col min="1" max="1" width="33.59765625" style="57" customWidth="1"/>
    <col min="2" max="2" width="11.8984375" style="57" bestFit="1" customWidth="1"/>
    <col min="3" max="3" width="9.69921875" style="57" bestFit="1" customWidth="1"/>
    <col min="4" max="4" width="20.3984375" style="57" customWidth="1"/>
    <col min="5" max="5" width="6" style="57" bestFit="1" customWidth="1"/>
    <col min="6" max="6" width="20.69921875" style="57" bestFit="1" customWidth="1"/>
    <col min="7" max="7" width="20.3984375" style="57" bestFit="1" customWidth="1"/>
    <col min="8" max="8" width="10.69921875" style="57" bestFit="1" customWidth="1"/>
    <col min="9" max="9" width="9.69921875" style="57" bestFit="1" customWidth="1"/>
    <col min="10" max="10" width="10.69921875" style="57" bestFit="1" customWidth="1"/>
    <col min="11" max="11" width="10.59765625" style="57" customWidth="1"/>
    <col min="12" max="12" width="9.69921875" style="57" bestFit="1" customWidth="1"/>
    <col min="13" max="16384" width="27.19921875" style="57"/>
  </cols>
  <sheetData>
    <row r="1" spans="1:24" ht="15.6">
      <c r="A1" s="297" t="s">
        <v>66</v>
      </c>
      <c r="B1" s="297"/>
      <c r="C1" s="308" t="s">
        <v>67</v>
      </c>
      <c r="D1" s="308"/>
      <c r="F1" s="67" t="s">
        <v>68</v>
      </c>
      <c r="G1" s="33" t="s">
        <v>31</v>
      </c>
      <c r="H1" s="32" t="s">
        <v>24</v>
      </c>
      <c r="I1" s="31" t="s">
        <v>17</v>
      </c>
      <c r="J1" s="30" t="s">
        <v>69</v>
      </c>
      <c r="K1" s="16" t="s">
        <v>70</v>
      </c>
    </row>
    <row r="2" spans="1:24" ht="15.6">
      <c r="A2" s="297" t="s">
        <v>71</v>
      </c>
      <c r="B2" s="297"/>
      <c r="C2" s="309" t="s">
        <v>72</v>
      </c>
      <c r="D2" s="309"/>
      <c r="F2" s="29" t="s">
        <v>73</v>
      </c>
      <c r="G2" s="23">
        <f>COUNTIFS(Table1[Status],"Complete",Table1[Priority],"high")</f>
        <v>0</v>
      </c>
      <c r="H2" s="23">
        <f>COUNTIFS(Table1[Status],"Complete",Table1[Priority],"medium")</f>
        <v>0</v>
      </c>
      <c r="I2" s="23">
        <f>COUNTIFS(Table1[Status],"Complete",Table1[Priority],"low")</f>
        <v>0</v>
      </c>
      <c r="J2" s="25">
        <f>SUM(G2:I2)</f>
        <v>0</v>
      </c>
      <c r="K2" s="16" t="e">
        <f>J2/J7</f>
        <v>#DIV/0!</v>
      </c>
    </row>
    <row r="3" spans="1:24" ht="15.6">
      <c r="A3" s="297" t="s">
        <v>74</v>
      </c>
      <c r="B3" s="297"/>
      <c r="C3" s="309"/>
      <c r="D3" s="309"/>
      <c r="F3" s="28" t="s">
        <v>75</v>
      </c>
      <c r="G3" s="23">
        <f>COUNTIFS(Table1[Status],"Closed-Pending Review",Table1[Priority],"High")</f>
        <v>0</v>
      </c>
      <c r="H3" s="23">
        <f>COUNTIFS(Table1[Status],"Closed-pending Review",Table1[Priority],"medium")</f>
        <v>0</v>
      </c>
      <c r="I3" s="23">
        <f>COUNTIFS(Table1[Status],"Closed-pending review",Table1[Priority],"low")</f>
        <v>0</v>
      </c>
      <c r="J3" s="25">
        <f>SUM(G3:I3)</f>
        <v>0</v>
      </c>
      <c r="K3" s="16" t="e">
        <f>J3/J7</f>
        <v>#DIV/0!</v>
      </c>
    </row>
    <row r="4" spans="1:24" ht="15.6">
      <c r="A4" s="297" t="s">
        <v>76</v>
      </c>
      <c r="B4" s="297"/>
      <c r="C4" s="309"/>
      <c r="D4" s="309"/>
      <c r="F4" s="27" t="s">
        <v>23</v>
      </c>
      <c r="G4" s="23">
        <f>COUNTIFS(Table1[Status],"In Progress",Table1[Priority],"high")</f>
        <v>0</v>
      </c>
      <c r="H4" s="23">
        <f>COUNTIFS(Table1[Status],"In Progress",Table1[Priority],"medium")</f>
        <v>0</v>
      </c>
      <c r="I4" s="23">
        <f>COUNTIFS(Table1[Status],"In Progress",Table1[Priority],"low")</f>
        <v>0</v>
      </c>
      <c r="J4" s="25">
        <f>SUM(G4:I4)</f>
        <v>0</v>
      </c>
      <c r="K4" s="16" t="e">
        <f>J4/J7</f>
        <v>#DIV/0!</v>
      </c>
    </row>
    <row r="5" spans="1:24" ht="15.6">
      <c r="A5" s="297" t="s">
        <v>77</v>
      </c>
      <c r="B5" s="297"/>
      <c r="C5" s="309" t="s">
        <v>78</v>
      </c>
      <c r="D5" s="309"/>
      <c r="F5" s="26" t="s">
        <v>79</v>
      </c>
      <c r="G5" s="23">
        <f>COUNTIFS(Table1[Status],"Behind",Table1[Priority],"high")</f>
        <v>0</v>
      </c>
      <c r="H5" s="23">
        <f>COUNTIFS(Table1[Status],"Behind",Table1[Priority],"medium")</f>
        <v>0</v>
      </c>
      <c r="I5" s="23">
        <f>COUNTIFS(Table1[Status],"behind",Table1[Priority],"low")</f>
        <v>0</v>
      </c>
      <c r="J5" s="25">
        <f>SUM(G5:I5)</f>
        <v>0</v>
      </c>
      <c r="K5" s="16" t="e">
        <f>J5/J7</f>
        <v>#DIV/0!</v>
      </c>
    </row>
    <row r="6" spans="1:24" ht="16.2" thickBot="1">
      <c r="A6" s="297" t="s">
        <v>77</v>
      </c>
      <c r="B6" s="297"/>
      <c r="C6" s="309"/>
      <c r="D6" s="309"/>
      <c r="F6" s="24" t="s">
        <v>38</v>
      </c>
      <c r="G6" s="23">
        <f>COUNTIFS(Table1[Status],"Not Started",Table1[Priority],"high")</f>
        <v>0</v>
      </c>
      <c r="H6" s="23">
        <f>COUNTIFS(Table1[Status],"Not Started",Table1[Priority],"medium")</f>
        <v>0</v>
      </c>
      <c r="I6" s="23">
        <f>COUNTIFS(Table1[Status],"not started",Table1[Priority],"low")</f>
        <v>0</v>
      </c>
      <c r="J6" s="22">
        <f>SUM(G6:I6)</f>
        <v>0</v>
      </c>
      <c r="K6" s="21" t="e">
        <f>J6/J7</f>
        <v>#DIV/0!</v>
      </c>
    </row>
    <row r="7" spans="1:24" ht="16.2" thickTop="1">
      <c r="A7" s="297" t="s">
        <v>80</v>
      </c>
      <c r="B7" s="297"/>
      <c r="C7" s="309" t="s">
        <v>20</v>
      </c>
      <c r="D7" s="309"/>
      <c r="F7" s="20" t="s">
        <v>69</v>
      </c>
      <c r="G7" s="19">
        <f>SUM(G2:G6)</f>
        <v>0</v>
      </c>
      <c r="H7" s="19">
        <f>SUM(H2:H6)</f>
        <v>0</v>
      </c>
      <c r="I7" s="19">
        <f>SUM(I2:I6)</f>
        <v>0</v>
      </c>
      <c r="J7" s="19">
        <f>SUM(J2:J6)</f>
        <v>0</v>
      </c>
      <c r="K7" s="18"/>
    </row>
    <row r="8" spans="1:24" ht="15.6">
      <c r="A8" s="297" t="s">
        <v>81</v>
      </c>
      <c r="B8" s="297"/>
      <c r="C8" s="298">
        <f ca="1">TODAY()</f>
        <v>46120</v>
      </c>
      <c r="D8" s="298"/>
      <c r="F8" s="17" t="s">
        <v>70</v>
      </c>
      <c r="G8" s="16" t="e">
        <f>G7/J7</f>
        <v>#DIV/0!</v>
      </c>
      <c r="H8" s="16" t="e">
        <f>H7/J7</f>
        <v>#DIV/0!</v>
      </c>
      <c r="I8" s="16" t="e">
        <f>I7/J7</f>
        <v>#DIV/0!</v>
      </c>
      <c r="J8" s="15"/>
      <c r="K8" s="15"/>
    </row>
    <row r="9" spans="1:24" ht="14.4" thickBot="1">
      <c r="A9" s="171"/>
      <c r="B9" s="171"/>
      <c r="C9" s="172"/>
      <c r="D9" s="172"/>
    </row>
    <row r="10" spans="1:24">
      <c r="A10" s="305" t="s">
        <v>82</v>
      </c>
      <c r="B10" s="306"/>
      <c r="C10" s="306"/>
      <c r="D10" s="306"/>
      <c r="E10" s="306"/>
      <c r="F10" s="306"/>
      <c r="G10" s="306"/>
      <c r="H10" s="306"/>
      <c r="I10" s="306"/>
      <c r="J10" s="306"/>
      <c r="K10" s="307"/>
    </row>
    <row r="11" spans="1:24">
      <c r="A11" s="299"/>
      <c r="B11" s="300"/>
      <c r="C11" s="300"/>
      <c r="D11" s="300"/>
      <c r="E11" s="300"/>
      <c r="F11" s="300"/>
      <c r="G11" s="300"/>
      <c r="H11" s="300"/>
      <c r="I11" s="300"/>
      <c r="J11" s="300"/>
      <c r="K11" s="301"/>
    </row>
    <row r="12" spans="1:24">
      <c r="A12" s="299"/>
      <c r="B12" s="300"/>
      <c r="C12" s="300"/>
      <c r="D12" s="300"/>
      <c r="E12" s="300"/>
      <c r="F12" s="300"/>
      <c r="G12" s="300"/>
      <c r="H12" s="300"/>
      <c r="I12" s="300"/>
      <c r="J12" s="300"/>
      <c r="K12" s="301"/>
    </row>
    <row r="13" spans="1:24">
      <c r="A13" s="299"/>
      <c r="B13" s="300"/>
      <c r="C13" s="300"/>
      <c r="D13" s="300"/>
      <c r="E13" s="300"/>
      <c r="F13" s="300"/>
      <c r="G13" s="300"/>
      <c r="H13" s="300"/>
      <c r="I13" s="300"/>
      <c r="J13" s="300"/>
      <c r="K13" s="301"/>
    </row>
    <row r="14" spans="1:24">
      <c r="A14" s="299"/>
      <c r="B14" s="300"/>
      <c r="C14" s="300"/>
      <c r="D14" s="300"/>
      <c r="E14" s="300"/>
      <c r="F14" s="300"/>
      <c r="G14" s="300"/>
      <c r="H14" s="300"/>
      <c r="I14" s="300"/>
      <c r="J14" s="300"/>
      <c r="K14" s="301"/>
    </row>
    <row r="15" spans="1:24">
      <c r="A15" s="299"/>
      <c r="B15" s="300"/>
      <c r="C15" s="300"/>
      <c r="D15" s="300"/>
      <c r="E15" s="300"/>
      <c r="F15" s="300"/>
      <c r="G15" s="300"/>
      <c r="H15" s="300"/>
      <c r="I15" s="300"/>
      <c r="J15" s="300"/>
      <c r="K15" s="301"/>
    </row>
    <row r="16" spans="1:24">
      <c r="A16" s="299"/>
      <c r="B16" s="300"/>
      <c r="C16" s="300"/>
      <c r="D16" s="300"/>
      <c r="E16" s="300"/>
      <c r="F16" s="300"/>
      <c r="G16" s="300"/>
      <c r="H16" s="300"/>
      <c r="I16" s="300"/>
      <c r="J16" s="300"/>
      <c r="K16" s="301"/>
      <c r="M16" s="300"/>
      <c r="N16" s="300"/>
      <c r="O16" s="300"/>
      <c r="P16" s="300"/>
      <c r="Q16" s="300"/>
      <c r="R16" s="300"/>
      <c r="S16" s="300"/>
      <c r="T16" s="300"/>
      <c r="U16" s="300"/>
      <c r="V16" s="300"/>
      <c r="W16" s="300"/>
      <c r="X16" s="300"/>
    </row>
    <row r="17" spans="1:11">
      <c r="A17" s="299"/>
      <c r="B17" s="300"/>
      <c r="C17" s="300"/>
      <c r="D17" s="300"/>
      <c r="E17" s="300"/>
      <c r="F17" s="300"/>
      <c r="G17" s="300"/>
      <c r="H17" s="300"/>
      <c r="I17" s="300"/>
      <c r="J17" s="300"/>
      <c r="K17" s="301"/>
    </row>
    <row r="18" spans="1:11" ht="14.4" thickBot="1">
      <c r="A18" s="302"/>
      <c r="B18" s="303"/>
      <c r="C18" s="303"/>
      <c r="D18" s="303"/>
      <c r="E18" s="303"/>
      <c r="F18" s="303"/>
      <c r="G18" s="303"/>
      <c r="H18" s="303"/>
      <c r="I18" s="303"/>
      <c r="J18" s="303"/>
      <c r="K18" s="304"/>
    </row>
    <row r="19" spans="1:11" ht="14.4" thickBot="1">
      <c r="A19" s="310"/>
      <c r="B19" s="310"/>
      <c r="C19" s="310"/>
      <c r="D19" s="310"/>
      <c r="E19" s="310"/>
      <c r="F19" s="310"/>
      <c r="G19" s="310"/>
      <c r="H19" s="310"/>
      <c r="I19" s="310"/>
      <c r="J19" s="310"/>
      <c r="K19" s="310"/>
    </row>
    <row r="20" spans="1:11">
      <c r="A20" s="305" t="s">
        <v>83</v>
      </c>
      <c r="B20" s="306"/>
      <c r="C20" s="306"/>
      <c r="D20" s="306"/>
      <c r="E20" s="306"/>
      <c r="F20" s="306"/>
      <c r="G20" s="306"/>
      <c r="H20" s="306"/>
      <c r="I20" s="306"/>
      <c r="J20" s="306"/>
      <c r="K20" s="307"/>
    </row>
    <row r="21" spans="1:11">
      <c r="A21" s="299"/>
      <c r="B21" s="300"/>
      <c r="C21" s="300"/>
      <c r="D21" s="300"/>
      <c r="E21" s="300"/>
      <c r="F21" s="300"/>
      <c r="G21" s="300"/>
      <c r="H21" s="300"/>
      <c r="I21" s="300"/>
      <c r="J21" s="300"/>
      <c r="K21" s="301"/>
    </row>
    <row r="22" spans="1:11">
      <c r="A22" s="299"/>
      <c r="B22" s="300"/>
      <c r="C22" s="300"/>
      <c r="D22" s="300"/>
      <c r="E22" s="300"/>
      <c r="F22" s="300"/>
      <c r="G22" s="300"/>
      <c r="H22" s="300"/>
      <c r="I22" s="300"/>
      <c r="J22" s="300"/>
      <c r="K22" s="301"/>
    </row>
    <row r="23" spans="1:11">
      <c r="A23" s="299"/>
      <c r="B23" s="300"/>
      <c r="C23" s="300"/>
      <c r="D23" s="300"/>
      <c r="E23" s="300"/>
      <c r="F23" s="300"/>
      <c r="G23" s="300"/>
      <c r="H23" s="300"/>
      <c r="I23" s="300"/>
      <c r="J23" s="300"/>
      <c r="K23" s="301"/>
    </row>
    <row r="24" spans="1:11">
      <c r="A24" s="299"/>
      <c r="B24" s="300"/>
      <c r="C24" s="300"/>
      <c r="D24" s="300"/>
      <c r="E24" s="300"/>
      <c r="F24" s="300"/>
      <c r="G24" s="300"/>
      <c r="H24" s="300"/>
      <c r="I24" s="300"/>
      <c r="J24" s="300"/>
      <c r="K24" s="301"/>
    </row>
    <row r="25" spans="1:11">
      <c r="A25" s="299"/>
      <c r="B25" s="300"/>
      <c r="C25" s="300"/>
      <c r="D25" s="300"/>
      <c r="E25" s="300"/>
      <c r="F25" s="300"/>
      <c r="G25" s="300"/>
      <c r="H25" s="300"/>
      <c r="I25" s="300"/>
      <c r="J25" s="300"/>
      <c r="K25" s="301"/>
    </row>
    <row r="26" spans="1:11">
      <c r="A26" s="299"/>
      <c r="B26" s="300"/>
      <c r="C26" s="300"/>
      <c r="D26" s="300"/>
      <c r="E26" s="300"/>
      <c r="F26" s="300"/>
      <c r="G26" s="300"/>
      <c r="H26" s="300"/>
      <c r="I26" s="300"/>
      <c r="J26" s="300"/>
      <c r="K26" s="301"/>
    </row>
    <row r="27" spans="1:11" ht="14.4" thickBot="1">
      <c r="A27" s="302"/>
      <c r="B27" s="303"/>
      <c r="C27" s="303"/>
      <c r="D27" s="303"/>
      <c r="E27" s="303"/>
      <c r="F27" s="303"/>
      <c r="G27" s="303"/>
      <c r="H27" s="303"/>
      <c r="I27" s="303"/>
      <c r="J27" s="303"/>
      <c r="K27" s="304"/>
    </row>
    <row r="29" spans="1:11">
      <c r="A29" s="291" t="s">
        <v>84</v>
      </c>
      <c r="B29" s="292"/>
      <c r="C29" s="292"/>
      <c r="D29" s="293"/>
      <c r="E29" s="58" t="s">
        <v>20</v>
      </c>
      <c r="G29" s="294" t="s">
        <v>85</v>
      </c>
      <c r="H29" s="295"/>
      <c r="I29" s="295"/>
      <c r="J29" s="296"/>
      <c r="K29" s="58" t="s">
        <v>20</v>
      </c>
    </row>
    <row r="30" spans="1:11">
      <c r="A30" s="59" t="s">
        <v>86</v>
      </c>
      <c r="B30" s="59" t="s">
        <v>87</v>
      </c>
      <c r="C30" s="59" t="s">
        <v>88</v>
      </c>
      <c r="D30" s="60" t="s">
        <v>89</v>
      </c>
      <c r="E30" s="60" t="s">
        <v>9</v>
      </c>
      <c r="G30" s="61" t="s">
        <v>90</v>
      </c>
      <c r="H30" s="59" t="s">
        <v>87</v>
      </c>
      <c r="I30" s="59" t="s">
        <v>88</v>
      </c>
      <c r="J30" s="60" t="s">
        <v>89</v>
      </c>
      <c r="K30" s="62" t="s">
        <v>9</v>
      </c>
    </row>
    <row r="31" spans="1:11">
      <c r="A31" s="63" t="s">
        <v>91</v>
      </c>
      <c r="B31" s="63" t="s">
        <v>92</v>
      </c>
      <c r="C31" s="63"/>
      <c r="D31" s="64"/>
      <c r="E31" s="64"/>
      <c r="G31" s="65" t="s">
        <v>93</v>
      </c>
      <c r="H31" s="66"/>
      <c r="I31" s="66"/>
      <c r="J31" s="64"/>
      <c r="K31" s="64"/>
    </row>
    <row r="32" spans="1:11" ht="27.6">
      <c r="A32" s="63" t="s">
        <v>94</v>
      </c>
      <c r="B32" s="63" t="s">
        <v>95</v>
      </c>
      <c r="C32" s="63"/>
      <c r="D32" s="64"/>
      <c r="E32" s="64"/>
      <c r="G32" s="65" t="s">
        <v>96</v>
      </c>
      <c r="H32" s="66"/>
      <c r="I32" s="66"/>
      <c r="J32" s="64"/>
      <c r="K32" s="64"/>
    </row>
    <row r="33" spans="1:11" ht="27.6">
      <c r="A33" s="63" t="s">
        <v>97</v>
      </c>
      <c r="B33" s="63" t="s">
        <v>98</v>
      </c>
      <c r="C33" s="63"/>
      <c r="D33" s="64"/>
      <c r="E33" s="64"/>
      <c r="G33" s="65" t="s">
        <v>99</v>
      </c>
      <c r="H33" s="66"/>
      <c r="I33" s="66"/>
      <c r="J33" s="64"/>
      <c r="K33" s="64"/>
    </row>
    <row r="34" spans="1:11">
      <c r="A34" s="63" t="s">
        <v>100</v>
      </c>
      <c r="B34" s="63" t="s">
        <v>101</v>
      </c>
      <c r="C34" s="63"/>
      <c r="D34" s="64"/>
      <c r="E34" s="64"/>
      <c r="G34" s="65" t="s">
        <v>102</v>
      </c>
      <c r="H34" s="66"/>
      <c r="I34" s="66"/>
      <c r="J34" s="64"/>
      <c r="K34" s="64"/>
    </row>
    <row r="35" spans="1:11">
      <c r="A35" s="63" t="s">
        <v>103</v>
      </c>
      <c r="B35" s="63" t="s">
        <v>104</v>
      </c>
      <c r="C35" s="63"/>
      <c r="D35" s="64"/>
      <c r="E35" s="64"/>
      <c r="G35" s="65" t="s">
        <v>105</v>
      </c>
      <c r="H35" s="66"/>
      <c r="I35" s="66"/>
      <c r="J35" s="64"/>
      <c r="K35" s="64"/>
    </row>
    <row r="36" spans="1:11" ht="27.6">
      <c r="A36" s="63" t="s">
        <v>106</v>
      </c>
      <c r="B36" s="63" t="s">
        <v>107</v>
      </c>
      <c r="C36" s="63"/>
      <c r="D36" s="64"/>
      <c r="E36" s="64"/>
      <c r="G36" s="65" t="s">
        <v>108</v>
      </c>
      <c r="H36" s="66"/>
      <c r="I36" s="66"/>
      <c r="J36" s="64"/>
      <c r="K36" s="64"/>
    </row>
    <row r="37" spans="1:11" ht="27.6">
      <c r="A37" s="63"/>
      <c r="B37" s="63"/>
      <c r="C37" s="63"/>
      <c r="D37" s="64"/>
      <c r="E37" s="64"/>
      <c r="G37" s="65" t="s">
        <v>109</v>
      </c>
      <c r="H37" s="66"/>
      <c r="I37" s="66"/>
      <c r="J37" s="64"/>
      <c r="K37" s="64"/>
    </row>
    <row r="38" spans="1:11">
      <c r="A38" s="63"/>
      <c r="B38" s="63"/>
      <c r="C38" s="63"/>
      <c r="D38" s="64"/>
      <c r="E38" s="64"/>
      <c r="G38" s="65"/>
      <c r="H38" s="66"/>
      <c r="I38" s="66"/>
      <c r="J38" s="64"/>
      <c r="K38" s="64"/>
    </row>
    <row r="39" spans="1:11">
      <c r="A39" s="63"/>
      <c r="B39" s="63"/>
      <c r="C39" s="63"/>
      <c r="D39" s="64"/>
      <c r="E39" s="64"/>
      <c r="G39" s="66"/>
      <c r="H39" s="66"/>
      <c r="I39" s="66"/>
      <c r="J39" s="64"/>
      <c r="K39" s="64"/>
    </row>
  </sheetData>
  <mergeCells count="37">
    <mergeCell ref="M16:X16"/>
    <mergeCell ref="A19:K19"/>
    <mergeCell ref="A21:K21"/>
    <mergeCell ref="A22:K22"/>
    <mergeCell ref="A18:K18"/>
    <mergeCell ref="A20:K20"/>
    <mergeCell ref="A10:K10"/>
    <mergeCell ref="A1:B1"/>
    <mergeCell ref="C1:D1"/>
    <mergeCell ref="A2:B2"/>
    <mergeCell ref="C2:D2"/>
    <mergeCell ref="A3:B3"/>
    <mergeCell ref="C3:D3"/>
    <mergeCell ref="A4:B4"/>
    <mergeCell ref="C4:D4"/>
    <mergeCell ref="A5:B5"/>
    <mergeCell ref="C5:D5"/>
    <mergeCell ref="A7:B7"/>
    <mergeCell ref="C7:D7"/>
    <mergeCell ref="A6:B6"/>
    <mergeCell ref="C6:D6"/>
    <mergeCell ref="A29:D29"/>
    <mergeCell ref="G29:J29"/>
    <mergeCell ref="A8:B8"/>
    <mergeCell ref="C8:D8"/>
    <mergeCell ref="A11:K11"/>
    <mergeCell ref="A12:K12"/>
    <mergeCell ref="A13:K13"/>
    <mergeCell ref="A15:K15"/>
    <mergeCell ref="A16:K16"/>
    <mergeCell ref="A14:K14"/>
    <mergeCell ref="A24:K24"/>
    <mergeCell ref="A25:K25"/>
    <mergeCell ref="A26:K26"/>
    <mergeCell ref="A27:K27"/>
    <mergeCell ref="A23:K23"/>
    <mergeCell ref="A17:K17"/>
  </mergeCells>
  <conditionalFormatting sqref="A29:E29 G29 K29">
    <cfRule type="cellIs" dxfId="56" priority="7" operator="equal">
      <formula>"yellow"</formula>
    </cfRule>
    <cfRule type="cellIs" dxfId="55" priority="8" operator="equal">
      <formula>"green"</formula>
    </cfRule>
    <cfRule type="cellIs" dxfId="54" priority="9" operator="equal">
      <formula>"red"</formula>
    </cfRule>
  </conditionalFormatting>
  <conditionalFormatting sqref="C7:D7">
    <cfRule type="cellIs" dxfId="53" priority="1" operator="equal">
      <formula>"yellow"</formula>
    </cfRule>
    <cfRule type="cellIs" dxfId="52" priority="2" operator="equal">
      <formula>"RED"</formula>
    </cfRule>
    <cfRule type="cellIs" dxfId="51" priority="3" operator="equal">
      <formula>"Green"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65A2-191D-4E26-99EC-B62300C610E6}">
  <dimension ref="A1:L14"/>
  <sheetViews>
    <sheetView zoomScale="85" zoomScaleNormal="85" workbookViewId="0">
      <selection activeCell="D3" sqref="D3"/>
    </sheetView>
  </sheetViews>
  <sheetFormatPr defaultRowHeight="15.6"/>
  <cols>
    <col min="1" max="1" width="12.69921875" bestFit="1" customWidth="1"/>
    <col min="2" max="2" width="21.19921875" customWidth="1"/>
    <col min="3" max="3" width="11.69921875" bestFit="1" customWidth="1"/>
    <col min="4" max="4" width="19.8984375" customWidth="1"/>
    <col min="5" max="6" width="11.69921875" bestFit="1" customWidth="1"/>
    <col min="7" max="7" width="12.69921875" bestFit="1" customWidth="1"/>
    <col min="8" max="8" width="41.5" customWidth="1"/>
    <col min="9" max="9" width="36.5" bestFit="1" customWidth="1"/>
    <col min="10" max="10" width="51" bestFit="1" customWidth="1"/>
    <col min="11" max="11" width="46" style="200" customWidth="1"/>
    <col min="12" max="12" width="41.5" customWidth="1"/>
  </cols>
  <sheetData>
    <row r="1" spans="1:12" ht="21">
      <c r="A1" s="311"/>
      <c r="B1" s="311"/>
      <c r="C1" s="311"/>
      <c r="D1" s="311"/>
      <c r="E1" s="311"/>
      <c r="F1" s="311"/>
      <c r="G1" s="311"/>
      <c r="H1" s="311"/>
      <c r="I1" s="311"/>
      <c r="J1" s="311"/>
      <c r="K1" s="201"/>
    </row>
    <row r="2" spans="1:12" ht="36">
      <c r="A2" s="223" t="s">
        <v>110</v>
      </c>
      <c r="B2" s="224" t="s">
        <v>8</v>
      </c>
      <c r="C2" s="224" t="s">
        <v>111</v>
      </c>
      <c r="D2" s="224" t="s">
        <v>112</v>
      </c>
      <c r="E2" s="225" t="s">
        <v>113</v>
      </c>
      <c r="F2" s="225" t="s">
        <v>114</v>
      </c>
      <c r="G2" s="225" t="s">
        <v>115</v>
      </c>
      <c r="H2" s="224" t="s">
        <v>116</v>
      </c>
      <c r="I2" s="226" t="s">
        <v>117</v>
      </c>
      <c r="J2" s="227" t="s">
        <v>118</v>
      </c>
      <c r="K2" s="226" t="s">
        <v>119</v>
      </c>
      <c r="L2" s="228" t="s">
        <v>120</v>
      </c>
    </row>
    <row r="3" spans="1:12" ht="57.6">
      <c r="A3" s="229">
        <v>1</v>
      </c>
      <c r="B3" s="230" t="s">
        <v>121</v>
      </c>
      <c r="C3" s="230" t="s">
        <v>91</v>
      </c>
      <c r="D3" s="246">
        <v>46105</v>
      </c>
      <c r="E3" s="232">
        <v>1</v>
      </c>
      <c r="F3" s="233">
        <v>1</v>
      </c>
      <c r="G3" s="233">
        <f>AVERAGE(Table46[[#This Row],[High End Hours]],Table46[[#This Row],[Low End Hours]])</f>
        <v>1</v>
      </c>
      <c r="H3" s="231" t="s">
        <v>122</v>
      </c>
      <c r="I3" s="234" t="s">
        <v>123</v>
      </c>
      <c r="J3" s="249" t="s">
        <v>124</v>
      </c>
      <c r="K3" s="250"/>
      <c r="L3" s="235"/>
    </row>
    <row r="4" spans="1:12" ht="43.2">
      <c r="A4" s="229">
        <v>2</v>
      </c>
      <c r="B4" s="230" t="s">
        <v>125</v>
      </c>
      <c r="C4" s="230" t="s">
        <v>91</v>
      </c>
      <c r="D4" s="231" t="s">
        <v>126</v>
      </c>
      <c r="E4" s="232">
        <v>1</v>
      </c>
      <c r="F4" s="233">
        <v>0.5</v>
      </c>
      <c r="G4" s="233">
        <f>AVERAGE(Table46[[#This Row],[High End Hours]],Table46[[#This Row],[Low End Hours]])</f>
        <v>0.75</v>
      </c>
      <c r="H4" s="231" t="s">
        <v>127</v>
      </c>
      <c r="I4" s="234" t="s">
        <v>128</v>
      </c>
      <c r="J4" s="249" t="s">
        <v>129</v>
      </c>
      <c r="K4" s="250"/>
      <c r="L4" s="235"/>
    </row>
    <row r="5" spans="1:12" ht="43.2">
      <c r="A5" s="229">
        <v>3</v>
      </c>
      <c r="B5" s="230" t="s">
        <v>121</v>
      </c>
      <c r="C5" s="230" t="s">
        <v>94</v>
      </c>
      <c r="D5" s="231" t="s">
        <v>126</v>
      </c>
      <c r="E5" s="232">
        <v>1</v>
      </c>
      <c r="F5" s="233">
        <v>1</v>
      </c>
      <c r="G5" s="233">
        <f>AVERAGE(Table46[[#This Row],[High End Hours]],Table46[[#This Row],[Low End Hours]])</f>
        <v>1</v>
      </c>
      <c r="H5" s="231" t="s">
        <v>130</v>
      </c>
      <c r="I5" s="234" t="s">
        <v>131</v>
      </c>
      <c r="J5" s="249" t="s">
        <v>132</v>
      </c>
      <c r="K5" s="250"/>
      <c r="L5" s="235"/>
    </row>
    <row r="6" spans="1:12" ht="43.2">
      <c r="A6" s="229">
        <v>4</v>
      </c>
      <c r="B6" s="230" t="s">
        <v>121</v>
      </c>
      <c r="C6" s="230" t="s">
        <v>133</v>
      </c>
      <c r="D6" s="231" t="s">
        <v>126</v>
      </c>
      <c r="E6" s="232">
        <v>1</v>
      </c>
      <c r="F6" s="233">
        <v>2</v>
      </c>
      <c r="G6" s="233">
        <f>AVERAGE(Table46[[#This Row],[High End Hours]],Table46[[#This Row],[Low End Hours]])</f>
        <v>1.5</v>
      </c>
      <c r="H6" s="231" t="s">
        <v>134</v>
      </c>
      <c r="I6" s="234" t="s">
        <v>135</v>
      </c>
      <c r="J6" s="249" t="s">
        <v>136</v>
      </c>
      <c r="K6" s="250"/>
      <c r="L6" s="235"/>
    </row>
    <row r="7" spans="1:12" ht="43.2">
      <c r="A7" s="229">
        <v>5</v>
      </c>
      <c r="B7" s="230" t="s">
        <v>137</v>
      </c>
      <c r="C7" s="230" t="s">
        <v>133</v>
      </c>
      <c r="D7" s="231" t="s">
        <v>126</v>
      </c>
      <c r="E7" s="232">
        <v>1</v>
      </c>
      <c r="F7" s="233">
        <v>0.5</v>
      </c>
      <c r="G7" s="233">
        <f>AVERAGE(Table46[[#This Row],[High End Hours]],Table46[[#This Row],[Low End Hours]])</f>
        <v>0.75</v>
      </c>
      <c r="H7" s="231" t="s">
        <v>134</v>
      </c>
      <c r="I7" s="234" t="s">
        <v>138</v>
      </c>
      <c r="J7" s="249" t="s">
        <v>139</v>
      </c>
      <c r="K7" s="250"/>
      <c r="L7" s="235"/>
    </row>
    <row r="8" spans="1:12" ht="72">
      <c r="A8" s="229">
        <v>6</v>
      </c>
      <c r="B8" s="230" t="s">
        <v>140</v>
      </c>
      <c r="C8" s="230" t="s">
        <v>133</v>
      </c>
      <c r="D8" s="231" t="s">
        <v>126</v>
      </c>
      <c r="E8" s="232">
        <v>1</v>
      </c>
      <c r="F8" s="233">
        <v>0.5</v>
      </c>
      <c r="G8" s="233">
        <f>AVERAGE(Table46[[#This Row],[High End Hours]],Table46[[#This Row],[Low End Hours]])</f>
        <v>0.75</v>
      </c>
      <c r="H8" s="231" t="s">
        <v>134</v>
      </c>
      <c r="I8" s="234" t="s">
        <v>141</v>
      </c>
      <c r="J8" s="249" t="s">
        <v>142</v>
      </c>
      <c r="K8" s="245" t="s">
        <v>143</v>
      </c>
      <c r="L8" s="235"/>
    </row>
    <row r="9" spans="1:12" ht="72">
      <c r="A9" s="229">
        <v>7</v>
      </c>
      <c r="B9" s="230" t="s">
        <v>144</v>
      </c>
      <c r="C9" s="230" t="s">
        <v>133</v>
      </c>
      <c r="D9" s="231" t="s">
        <v>126</v>
      </c>
      <c r="E9" s="232">
        <v>1</v>
      </c>
      <c r="F9" s="233">
        <v>0.5</v>
      </c>
      <c r="G9" s="233">
        <f>AVERAGE(Table46[[#This Row],[High End Hours]],Table46[[#This Row],[Low End Hours]])</f>
        <v>0.75</v>
      </c>
      <c r="H9" s="231" t="s">
        <v>134</v>
      </c>
      <c r="I9" s="234" t="s">
        <v>141</v>
      </c>
      <c r="J9" s="249" t="s">
        <v>145</v>
      </c>
      <c r="K9" s="245" t="s">
        <v>143</v>
      </c>
      <c r="L9" s="235"/>
    </row>
    <row r="10" spans="1:12" ht="57.6">
      <c r="A10" s="243">
        <v>8</v>
      </c>
      <c r="B10" s="230" t="s">
        <v>146</v>
      </c>
      <c r="C10" s="230" t="s">
        <v>133</v>
      </c>
      <c r="D10" s="231" t="s">
        <v>126</v>
      </c>
      <c r="E10" s="232">
        <v>1</v>
      </c>
      <c r="F10" s="233">
        <v>0.5</v>
      </c>
      <c r="G10" s="233">
        <f>AVERAGE(Table46[[#This Row],[High End Hours]],Table46[[#This Row],[Low End Hours]])</f>
        <v>0.75</v>
      </c>
      <c r="H10" s="231" t="s">
        <v>134</v>
      </c>
      <c r="I10" s="234" t="s">
        <v>146</v>
      </c>
      <c r="J10" s="249" t="s">
        <v>147</v>
      </c>
      <c r="K10" s="244" t="s">
        <v>148</v>
      </c>
      <c r="L10" s="235"/>
    </row>
    <row r="11" spans="1:12" ht="43.2">
      <c r="A11" s="229">
        <v>9</v>
      </c>
      <c r="B11" s="230" t="s">
        <v>149</v>
      </c>
      <c r="C11" s="230" t="s">
        <v>149</v>
      </c>
      <c r="D11" s="231" t="s">
        <v>126</v>
      </c>
      <c r="E11" s="232">
        <v>0.5</v>
      </c>
      <c r="F11" s="233">
        <v>0.5</v>
      </c>
      <c r="G11" s="233">
        <f>AVERAGE(Table46[[#This Row],[High End Hours]],Table46[[#This Row],[Low End Hours]])</f>
        <v>0.5</v>
      </c>
      <c r="H11" s="231" t="s">
        <v>134</v>
      </c>
      <c r="I11" s="234" t="s">
        <v>150</v>
      </c>
      <c r="J11" s="249" t="s">
        <v>151</v>
      </c>
      <c r="K11" s="250"/>
      <c r="L11" s="235"/>
    </row>
    <row r="12" spans="1:12" ht="43.2">
      <c r="A12" s="229">
        <v>10</v>
      </c>
      <c r="B12" s="230" t="s">
        <v>149</v>
      </c>
      <c r="C12" s="230" t="s">
        <v>149</v>
      </c>
      <c r="D12" s="231" t="s">
        <v>126</v>
      </c>
      <c r="E12" s="232">
        <v>0.5</v>
      </c>
      <c r="F12" s="233">
        <v>0.5</v>
      </c>
      <c r="G12" s="233">
        <f>AVERAGE(Table46[[#This Row],[High End Hours]],Table46[[#This Row],[Low End Hours]])</f>
        <v>0.5</v>
      </c>
      <c r="H12" s="231" t="s">
        <v>134</v>
      </c>
      <c r="I12" s="234" t="s">
        <v>152</v>
      </c>
      <c r="J12" s="249" t="s">
        <v>153</v>
      </c>
      <c r="K12" s="250"/>
      <c r="L12" s="235"/>
    </row>
    <row r="13" spans="1:12" ht="43.2">
      <c r="A13" s="229">
        <v>11</v>
      </c>
      <c r="B13" s="230" t="s">
        <v>154</v>
      </c>
      <c r="C13" s="230" t="s">
        <v>155</v>
      </c>
      <c r="D13" s="231" t="s">
        <v>126</v>
      </c>
      <c r="E13" s="232">
        <v>0.5</v>
      </c>
      <c r="F13" s="233">
        <v>0.5</v>
      </c>
      <c r="G13" s="233">
        <f>AVERAGE(Table46[[#This Row],[High End Hours]],Table46[[#This Row],[Low End Hours]])</f>
        <v>0.5</v>
      </c>
      <c r="H13" s="231" t="s">
        <v>134</v>
      </c>
      <c r="I13" s="234" t="s">
        <v>156</v>
      </c>
      <c r="J13" s="249" t="s">
        <v>157</v>
      </c>
      <c r="K13" s="250"/>
      <c r="L13" s="235"/>
    </row>
    <row r="14" spans="1:12" ht="43.2">
      <c r="A14" s="236">
        <v>12</v>
      </c>
      <c r="B14" s="237" t="s">
        <v>158</v>
      </c>
      <c r="C14" s="237" t="s">
        <v>106</v>
      </c>
      <c r="D14" s="238" t="s">
        <v>126</v>
      </c>
      <c r="E14" s="239">
        <v>0.5</v>
      </c>
      <c r="F14" s="239">
        <v>0.5</v>
      </c>
      <c r="G14" s="240">
        <f>AVERAGE(Table46[[#This Row],[High End Hours]],Table46[[#This Row],[Low End Hours]])</f>
        <v>0.5</v>
      </c>
      <c r="H14" s="238" t="s">
        <v>134</v>
      </c>
      <c r="I14" s="241" t="s">
        <v>159</v>
      </c>
      <c r="J14" s="251" t="s">
        <v>160</v>
      </c>
      <c r="K14" s="252"/>
      <c r="L14" s="242"/>
    </row>
  </sheetData>
  <mergeCells count="1">
    <mergeCell ref="A1:J1"/>
  </mergeCells>
  <hyperlinks>
    <hyperlink ref="K10" r:id="rId1" xr:uid="{10DD6380-ED25-4F19-A54E-E3A94AA002AC}"/>
    <hyperlink ref="K8" r:id="rId2" xr:uid="{D71BB1CB-1CA4-49EA-879D-08D4DF4BA27B}"/>
    <hyperlink ref="K9" r:id="rId3" xr:uid="{653AF3ED-AF0C-4689-805D-24FBA59C2471}"/>
  </hyperlink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591D-25FF-4404-962A-2D5F9D746672}">
  <dimension ref="A1:E37"/>
  <sheetViews>
    <sheetView tabSelected="1" workbookViewId="0">
      <selection activeCell="B32" sqref="B32"/>
    </sheetView>
  </sheetViews>
  <sheetFormatPr defaultRowHeight="15.6"/>
  <cols>
    <col min="1" max="1" width="8.3984375" style="222" customWidth="1"/>
    <col min="2" max="2" width="40.3984375" style="222" customWidth="1"/>
    <col min="3" max="3" width="50.3984375" style="222" bestFit="1" customWidth="1"/>
    <col min="4" max="4" width="68.59765625" style="222" customWidth="1"/>
    <col min="5" max="5" width="42.09765625" style="222" customWidth="1"/>
  </cols>
  <sheetData>
    <row r="1" spans="1:5" ht="21">
      <c r="A1" s="281" t="s">
        <v>161</v>
      </c>
      <c r="B1" s="281"/>
      <c r="C1" s="281"/>
      <c r="D1" s="281"/>
      <c r="E1" s="281"/>
    </row>
    <row r="2" spans="1:5">
      <c r="A2" s="202" t="s">
        <v>162</v>
      </c>
      <c r="B2" s="203" t="s">
        <v>163</v>
      </c>
      <c r="C2" s="204" t="s">
        <v>164</v>
      </c>
      <c r="D2" s="204" t="s">
        <v>165</v>
      </c>
      <c r="E2" s="204" t="s">
        <v>120</v>
      </c>
    </row>
    <row r="3" spans="1:5">
      <c r="A3" s="202"/>
      <c r="B3" s="203" t="s">
        <v>166</v>
      </c>
      <c r="C3" s="204"/>
      <c r="D3" s="204"/>
      <c r="E3" s="204"/>
    </row>
    <row r="4" spans="1:5">
      <c r="A4" s="205"/>
      <c r="B4" s="260">
        <f>'Performance Planner'!$D$3</f>
        <v>0</v>
      </c>
      <c r="C4" s="206" t="s">
        <v>123</v>
      </c>
      <c r="D4" s="207" t="s">
        <v>167</v>
      </c>
      <c r="E4" s="208"/>
    </row>
    <row r="5" spans="1:5">
      <c r="A5" s="205"/>
      <c r="B5" s="260">
        <f>'Performance Planner'!$D$7</f>
        <v>0</v>
      </c>
      <c r="C5" s="206" t="s">
        <v>131</v>
      </c>
      <c r="D5" s="207" t="s">
        <v>132</v>
      </c>
      <c r="E5" s="208"/>
    </row>
    <row r="6" spans="1:5">
      <c r="A6" s="205"/>
      <c r="B6" s="260">
        <f>'Performance Planner'!$D$7</f>
        <v>0</v>
      </c>
      <c r="C6" s="206" t="s">
        <v>168</v>
      </c>
      <c r="D6" s="209" t="s">
        <v>169</v>
      </c>
      <c r="E6" s="208"/>
    </row>
    <row r="7" spans="1:5">
      <c r="A7" s="205"/>
      <c r="B7" s="280" t="s">
        <v>170</v>
      </c>
      <c r="C7" s="280"/>
      <c r="D7" s="280"/>
      <c r="E7" s="280"/>
    </row>
    <row r="8" spans="1:5" ht="26.4">
      <c r="A8" s="205"/>
      <c r="B8" s="260">
        <f>'Performance Planner'!$D$8</f>
        <v>0</v>
      </c>
      <c r="C8" s="210" t="s">
        <v>171</v>
      </c>
      <c r="D8" s="211" t="s">
        <v>172</v>
      </c>
      <c r="E8" s="212"/>
    </row>
    <row r="9" spans="1:5" ht="26.4">
      <c r="A9" s="205"/>
      <c r="B9" s="260">
        <f>'Performance Planner'!$D$14</f>
        <v>0</v>
      </c>
      <c r="C9" s="210" t="s">
        <v>173</v>
      </c>
      <c r="D9" s="211" t="s">
        <v>174</v>
      </c>
      <c r="E9" s="212"/>
    </row>
    <row r="10" spans="1:5" ht="26.4">
      <c r="A10" s="205"/>
      <c r="B10" s="260">
        <f>'Performance Planner'!$D$14</f>
        <v>0</v>
      </c>
      <c r="C10" s="210" t="s">
        <v>175</v>
      </c>
      <c r="D10" s="211" t="s">
        <v>176</v>
      </c>
      <c r="E10" s="212"/>
    </row>
    <row r="11" spans="1:5" ht="26.4">
      <c r="A11" s="205"/>
      <c r="B11" s="260">
        <f>'Performance Planner'!$D$14</f>
        <v>0</v>
      </c>
      <c r="C11" s="210" t="s">
        <v>177</v>
      </c>
      <c r="D11" s="211" t="s">
        <v>178</v>
      </c>
      <c r="E11" s="212"/>
    </row>
    <row r="12" spans="1:5" ht="26.4">
      <c r="A12" s="205"/>
      <c r="B12" s="260">
        <f>'Performance Planner'!$D$14</f>
        <v>0</v>
      </c>
      <c r="C12" s="210" t="s">
        <v>179</v>
      </c>
      <c r="D12" s="211" t="s">
        <v>180</v>
      </c>
      <c r="E12" s="212"/>
    </row>
    <row r="13" spans="1:5" ht="39.6">
      <c r="A13" s="205"/>
      <c r="B13" s="260">
        <f>'Performance Planner'!$D$14</f>
        <v>0</v>
      </c>
      <c r="C13" s="213" t="s">
        <v>181</v>
      </c>
      <c r="D13" s="214" t="s">
        <v>182</v>
      </c>
      <c r="E13" s="212"/>
    </row>
    <row r="14" spans="1:5">
      <c r="A14" s="205"/>
      <c r="B14" s="280" t="s">
        <v>183</v>
      </c>
      <c r="C14" s="280"/>
      <c r="D14" s="280"/>
      <c r="E14" s="280"/>
    </row>
    <row r="15" spans="1:5" ht="26.4">
      <c r="A15" s="205"/>
      <c r="B15" s="260">
        <f>'Performance Planner'!$D$19</f>
        <v>0</v>
      </c>
      <c r="C15" s="215" t="s">
        <v>184</v>
      </c>
      <c r="D15" s="211" t="s">
        <v>185</v>
      </c>
      <c r="E15" s="212"/>
    </row>
    <row r="16" spans="1:5" ht="39.6">
      <c r="A16" s="205"/>
      <c r="B16" s="260">
        <f>'Performance Planner'!$D$19</f>
        <v>0</v>
      </c>
      <c r="C16" s="215" t="s">
        <v>186</v>
      </c>
      <c r="D16" s="211" t="s">
        <v>187</v>
      </c>
      <c r="E16" s="212"/>
    </row>
    <row r="17" spans="1:5" ht="26.4">
      <c r="A17" s="205"/>
      <c r="B17" s="260">
        <f>'Performance Planner'!$D$19</f>
        <v>0</v>
      </c>
      <c r="C17" s="215" t="s">
        <v>188</v>
      </c>
      <c r="D17" s="211" t="s">
        <v>189</v>
      </c>
      <c r="E17" s="212"/>
    </row>
    <row r="18" spans="1:5" ht="39.6">
      <c r="A18" s="205"/>
      <c r="B18" s="260">
        <f>'Performance Planner'!$D$20</f>
        <v>0</v>
      </c>
      <c r="C18" s="210" t="s">
        <v>190</v>
      </c>
      <c r="D18" s="211" t="s">
        <v>191</v>
      </c>
      <c r="E18" s="212"/>
    </row>
    <row r="19" spans="1:5" ht="26.4">
      <c r="A19" s="205"/>
      <c r="B19" s="260">
        <f>'Performance Planner'!$D$20</f>
        <v>0</v>
      </c>
      <c r="C19" s="215" t="s">
        <v>192</v>
      </c>
      <c r="D19" s="211" t="s">
        <v>193</v>
      </c>
      <c r="E19" s="212"/>
    </row>
    <row r="20" spans="1:5">
      <c r="A20" s="205"/>
      <c r="B20" s="280" t="s">
        <v>194</v>
      </c>
      <c r="C20" s="280"/>
      <c r="D20" s="280"/>
      <c r="E20" s="280"/>
    </row>
    <row r="21" spans="1:5" ht="26.4">
      <c r="A21" s="205"/>
      <c r="B21" s="260">
        <f>'Performance Planner'!$D$21</f>
        <v>0</v>
      </c>
      <c r="C21" s="215" t="s">
        <v>195</v>
      </c>
      <c r="D21" s="211" t="s">
        <v>196</v>
      </c>
      <c r="E21" s="212"/>
    </row>
    <row r="22" spans="1:5" ht="26.4">
      <c r="A22" s="205"/>
      <c r="B22" s="260">
        <f>'Performance Planner'!$D$21</f>
        <v>0</v>
      </c>
      <c r="C22" s="215" t="s">
        <v>197</v>
      </c>
      <c r="D22" s="211" t="s">
        <v>198</v>
      </c>
      <c r="E22" s="212"/>
    </row>
    <row r="23" spans="1:5" ht="26.4">
      <c r="A23" s="205"/>
      <c r="B23" s="260">
        <f>'Performance Planner'!$D$21</f>
        <v>0</v>
      </c>
      <c r="C23" s="215" t="s">
        <v>199</v>
      </c>
      <c r="D23" s="211" t="s">
        <v>200</v>
      </c>
      <c r="E23" s="208"/>
    </row>
    <row r="24" spans="1:5" ht="26.4">
      <c r="A24" s="216"/>
      <c r="B24" s="260">
        <f>'Performance Planner'!$D$21</f>
        <v>0</v>
      </c>
      <c r="C24" s="217" t="s">
        <v>201</v>
      </c>
      <c r="D24" s="211" t="s">
        <v>202</v>
      </c>
      <c r="E24" s="218"/>
    </row>
    <row r="25" spans="1:5" ht="39.6">
      <c r="A25" s="216"/>
      <c r="B25" s="260">
        <f>'Performance Planner'!$D$21</f>
        <v>0</v>
      </c>
      <c r="C25" s="217" t="s">
        <v>203</v>
      </c>
      <c r="D25" s="211" t="s">
        <v>204</v>
      </c>
      <c r="E25" s="218"/>
    </row>
    <row r="26" spans="1:5">
      <c r="A26" s="205"/>
      <c r="B26" s="280" t="s">
        <v>205</v>
      </c>
      <c r="C26" s="280"/>
      <c r="D26" s="280"/>
      <c r="E26" s="280"/>
    </row>
    <row r="27" spans="1:5" ht="40.200000000000003">
      <c r="A27" s="205"/>
      <c r="B27" s="260">
        <f>'Performance Planner'!$D$22</f>
        <v>0</v>
      </c>
      <c r="C27" s="219" t="s">
        <v>206</v>
      </c>
      <c r="D27" s="220" t="s">
        <v>207</v>
      </c>
      <c r="E27" s="212"/>
    </row>
    <row r="28" spans="1:5">
      <c r="A28" s="205"/>
      <c r="B28" s="260">
        <f>'Performance Planner'!$D$22</f>
        <v>0</v>
      </c>
      <c r="C28" s="219" t="s">
        <v>208</v>
      </c>
      <c r="D28" s="220" t="s">
        <v>209</v>
      </c>
      <c r="E28" s="212"/>
    </row>
    <row r="29" spans="1:5">
      <c r="A29" s="216"/>
      <c r="B29" s="260">
        <f>'Performance Planner'!$D$22</f>
        <v>0</v>
      </c>
      <c r="C29" s="219" t="s">
        <v>210</v>
      </c>
      <c r="D29" s="220" t="s">
        <v>211</v>
      </c>
      <c r="E29" s="218"/>
    </row>
    <row r="30" spans="1:5">
      <c r="A30" s="205"/>
      <c r="B30" s="282" t="s">
        <v>212</v>
      </c>
      <c r="C30" s="282"/>
      <c r="D30" s="282"/>
      <c r="E30" s="282"/>
    </row>
    <row r="31" spans="1:5">
      <c r="A31" s="205"/>
      <c r="B31" s="260">
        <f>'Performance Planner'!$D$24</f>
        <v>0</v>
      </c>
      <c r="C31" s="206" t="s">
        <v>213</v>
      </c>
      <c r="D31" s="207" t="s">
        <v>214</v>
      </c>
      <c r="E31" s="208"/>
    </row>
    <row r="32" spans="1:5">
      <c r="A32" s="205"/>
      <c r="B32" s="260" t="str">
        <f>TEXT('Performance Planner'!$D$25,"dd/mm/yyyy")&amp;" - "&amp;TEXT('Performance Planner'!$E$26,"dd/mm/yyyy")</f>
        <v>00/01/1900 - 00/01/1900</v>
      </c>
      <c r="C32" s="206" t="s">
        <v>215</v>
      </c>
      <c r="D32" s="221" t="s">
        <v>216</v>
      </c>
      <c r="E32" s="208"/>
    </row>
    <row r="33" spans="1:5" ht="39.6">
      <c r="A33" s="205"/>
      <c r="B33" s="260">
        <f>'Performance Planner'!$D$27</f>
        <v>0</v>
      </c>
      <c r="C33" s="206" t="s">
        <v>217</v>
      </c>
      <c r="D33" s="207" t="s">
        <v>218</v>
      </c>
      <c r="E33" s="208"/>
    </row>
    <row r="34" spans="1:5">
      <c r="A34" s="205"/>
      <c r="B34" s="280" t="s">
        <v>219</v>
      </c>
      <c r="C34" s="280"/>
      <c r="D34" s="280"/>
      <c r="E34" s="280"/>
    </row>
    <row r="35" spans="1:5">
      <c r="A35" s="205"/>
      <c r="B35" s="260">
        <f>'Performance Planner'!$D$33</f>
        <v>0</v>
      </c>
      <c r="C35" s="206" t="s">
        <v>220</v>
      </c>
      <c r="D35" s="221"/>
      <c r="E35" s="208"/>
    </row>
    <row r="36" spans="1:5">
      <c r="A36" s="205"/>
      <c r="B36" s="260">
        <f>WORKDAY(B35,5)</f>
        <v>6</v>
      </c>
      <c r="C36" s="206" t="s">
        <v>221</v>
      </c>
      <c r="D36" s="221"/>
      <c r="E36" s="208"/>
    </row>
    <row r="37" spans="1:5">
      <c r="A37" s="205"/>
      <c r="B37" s="260">
        <f>WORKDAY(B36,5)</f>
        <v>13</v>
      </c>
      <c r="C37" s="206" t="s">
        <v>222</v>
      </c>
      <c r="D37" s="221"/>
      <c r="E37" s="208"/>
    </row>
  </sheetData>
  <mergeCells count="7">
    <mergeCell ref="B34:E34"/>
    <mergeCell ref="A1:E1"/>
    <mergeCell ref="B7:E7"/>
    <mergeCell ref="B14:E14"/>
    <mergeCell ref="B20:E20"/>
    <mergeCell ref="B26:E26"/>
    <mergeCell ref="B30:E3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542F-3515-4EF8-A85A-B8FBCEA01111}">
  <dimension ref="A1:K33"/>
  <sheetViews>
    <sheetView topLeftCell="B1" workbookViewId="0">
      <selection activeCell="I3" sqref="I3"/>
    </sheetView>
  </sheetViews>
  <sheetFormatPr defaultColWidth="7.8984375" defaultRowHeight="10.199999999999999"/>
  <cols>
    <col min="1" max="1" width="32.3984375" style="279" customWidth="1"/>
    <col min="2" max="2" width="60.5" style="279" customWidth="1"/>
    <col min="3" max="3" width="6.796875" style="279" bestFit="1" customWidth="1"/>
    <col min="4" max="4" width="13.8984375" style="263" bestFit="1" customWidth="1"/>
    <col min="5" max="5" width="13.09765625" style="263" bestFit="1" customWidth="1"/>
    <col min="6" max="6" width="12.59765625" style="263" bestFit="1" customWidth="1"/>
    <col min="7" max="7" width="11.8984375" style="263" bestFit="1" customWidth="1"/>
    <col min="8" max="8" width="10.09765625" style="263" customWidth="1"/>
    <col min="9" max="9" width="13.09765625" style="263" bestFit="1" customWidth="1"/>
    <col min="10" max="10" width="37.59765625" style="263" customWidth="1"/>
    <col min="11" max="16384" width="7.8984375" style="263"/>
  </cols>
  <sheetData>
    <row r="1" spans="1:10" ht="14.55" customHeight="1">
      <c r="A1" s="261" t="s">
        <v>223</v>
      </c>
      <c r="B1" s="261" t="s">
        <v>224</v>
      </c>
      <c r="C1" s="261" t="s">
        <v>225</v>
      </c>
      <c r="D1" s="262" t="s">
        <v>226</v>
      </c>
      <c r="E1" s="262" t="s">
        <v>227</v>
      </c>
      <c r="F1" s="262" t="s">
        <v>228</v>
      </c>
      <c r="G1" s="262" t="s">
        <v>229</v>
      </c>
      <c r="H1" s="262" t="s">
        <v>230</v>
      </c>
      <c r="I1" s="262" t="s">
        <v>9</v>
      </c>
      <c r="J1" s="262" t="s">
        <v>231</v>
      </c>
    </row>
    <row r="2" spans="1:10" ht="14.55" customHeight="1">
      <c r="A2" s="264" t="s">
        <v>121</v>
      </c>
      <c r="B2" s="265"/>
      <c r="C2" s="265"/>
      <c r="D2" s="266"/>
      <c r="E2" s="267"/>
      <c r="F2" s="268"/>
      <c r="G2" s="268"/>
      <c r="H2" s="268" t="s">
        <v>232</v>
      </c>
      <c r="I2" s="268"/>
      <c r="J2" s="268"/>
    </row>
    <row r="3" spans="1:10" ht="14.55" customHeight="1">
      <c r="A3" s="269" t="s">
        <v>233</v>
      </c>
      <c r="B3" s="270" t="s">
        <v>234</v>
      </c>
      <c r="C3" s="269">
        <v>0</v>
      </c>
      <c r="D3" s="266"/>
      <c r="E3" s="267"/>
      <c r="F3" s="266"/>
      <c r="G3" s="266"/>
      <c r="H3" s="271" t="s">
        <v>71</v>
      </c>
      <c r="I3" s="271" t="s">
        <v>242</v>
      </c>
      <c r="J3" s="271"/>
    </row>
    <row r="4" spans="1:10" ht="14.55" customHeight="1">
      <c r="A4" s="269" t="s">
        <v>235</v>
      </c>
      <c r="B4" s="270" t="s">
        <v>236</v>
      </c>
      <c r="C4" s="269">
        <v>0</v>
      </c>
      <c r="D4" s="266"/>
      <c r="E4" s="267"/>
      <c r="F4" s="266"/>
      <c r="G4" s="266"/>
      <c r="H4" s="271" t="s">
        <v>71</v>
      </c>
      <c r="I4" s="271" t="s">
        <v>242</v>
      </c>
      <c r="J4" s="271"/>
    </row>
    <row r="5" spans="1:10" ht="14.55" customHeight="1">
      <c r="A5" s="269" t="s">
        <v>237</v>
      </c>
      <c r="B5" s="270" t="s">
        <v>238</v>
      </c>
      <c r="C5" s="269">
        <v>15</v>
      </c>
      <c r="D5" s="266"/>
      <c r="E5" s="267"/>
      <c r="F5" s="266"/>
      <c r="G5" s="266"/>
      <c r="H5" s="271" t="s">
        <v>239</v>
      </c>
      <c r="I5" s="271" t="s">
        <v>242</v>
      </c>
      <c r="J5" s="271"/>
    </row>
    <row r="6" spans="1:10" ht="14.55" customHeight="1">
      <c r="A6" s="269" t="s">
        <v>240</v>
      </c>
      <c r="B6" s="272" t="s">
        <v>241</v>
      </c>
      <c r="C6" s="269">
        <v>0</v>
      </c>
      <c r="D6" s="266"/>
      <c r="E6" s="267"/>
      <c r="F6" s="266"/>
      <c r="G6" s="266"/>
      <c r="H6" s="271" t="s">
        <v>239</v>
      </c>
      <c r="I6" s="271" t="s">
        <v>242</v>
      </c>
      <c r="J6" s="271"/>
    </row>
    <row r="7" spans="1:10" ht="14.55" customHeight="1">
      <c r="A7" s="269" t="s">
        <v>243</v>
      </c>
      <c r="B7" s="273" t="s">
        <v>244</v>
      </c>
      <c r="C7" s="269">
        <v>0</v>
      </c>
      <c r="D7" s="266"/>
      <c r="E7" s="267"/>
      <c r="F7" s="266"/>
      <c r="G7" s="266"/>
      <c r="H7" s="271" t="s">
        <v>245</v>
      </c>
      <c r="I7" s="271" t="s">
        <v>242</v>
      </c>
      <c r="J7" s="271"/>
    </row>
    <row r="8" spans="1:10" ht="14.55" customHeight="1">
      <c r="A8" s="269" t="s">
        <v>246</v>
      </c>
      <c r="B8" s="273" t="s">
        <v>247</v>
      </c>
      <c r="C8" s="269">
        <v>0</v>
      </c>
      <c r="D8" s="266"/>
      <c r="E8" s="267"/>
      <c r="F8" s="266"/>
      <c r="G8" s="266"/>
      <c r="H8" s="271" t="s">
        <v>245</v>
      </c>
      <c r="I8" s="271" t="s">
        <v>242</v>
      </c>
      <c r="J8" s="271"/>
    </row>
    <row r="9" spans="1:10" ht="14.55" customHeight="1">
      <c r="A9" s="269" t="s">
        <v>248</v>
      </c>
      <c r="B9" s="269" t="s">
        <v>249</v>
      </c>
      <c r="C9" s="269">
        <v>0</v>
      </c>
      <c r="D9" s="266"/>
      <c r="E9" s="267"/>
      <c r="F9" s="266"/>
      <c r="G9" s="266"/>
      <c r="H9" s="271" t="s">
        <v>77</v>
      </c>
      <c r="I9" s="271" t="s">
        <v>242</v>
      </c>
      <c r="J9" s="271"/>
    </row>
    <row r="10" spans="1:10" ht="14.55" customHeight="1">
      <c r="A10" s="269" t="s">
        <v>250</v>
      </c>
      <c r="B10" s="270" t="s">
        <v>251</v>
      </c>
      <c r="C10" s="269">
        <v>0</v>
      </c>
      <c r="D10" s="266"/>
      <c r="E10" s="267"/>
      <c r="F10" s="266"/>
      <c r="G10" s="266"/>
      <c r="H10" s="271" t="s">
        <v>71</v>
      </c>
      <c r="I10" s="271" t="s">
        <v>242</v>
      </c>
      <c r="J10" s="271"/>
    </row>
    <row r="11" spans="1:10" ht="14.55" customHeight="1">
      <c r="A11" s="269" t="s">
        <v>252</v>
      </c>
      <c r="B11" s="270" t="s">
        <v>253</v>
      </c>
      <c r="C11" s="269">
        <v>5</v>
      </c>
      <c r="D11" s="266"/>
      <c r="E11" s="267"/>
      <c r="F11" s="266"/>
      <c r="G11" s="266"/>
      <c r="H11" s="271" t="s">
        <v>71</v>
      </c>
      <c r="I11" s="271" t="s">
        <v>242</v>
      </c>
      <c r="J11" s="271"/>
    </row>
    <row r="12" spans="1:10" ht="14.55" customHeight="1">
      <c r="A12" s="269" t="s">
        <v>254</v>
      </c>
      <c r="B12" s="270" t="s">
        <v>255</v>
      </c>
      <c r="C12" s="269">
        <v>2</v>
      </c>
      <c r="D12" s="266"/>
      <c r="E12" s="267"/>
      <c r="F12" s="266"/>
      <c r="G12" s="266"/>
      <c r="H12" s="271" t="s">
        <v>239</v>
      </c>
      <c r="I12" s="271" t="s">
        <v>242</v>
      </c>
      <c r="J12" s="271"/>
    </row>
    <row r="13" spans="1:10" ht="14.55" customHeight="1">
      <c r="A13" s="269" t="s">
        <v>256</v>
      </c>
      <c r="B13" s="270" t="s">
        <v>257</v>
      </c>
      <c r="C13" s="269">
        <v>2</v>
      </c>
      <c r="D13" s="266"/>
      <c r="E13" s="267"/>
      <c r="F13" s="266"/>
      <c r="G13" s="266"/>
      <c r="H13" s="271" t="s">
        <v>245</v>
      </c>
      <c r="I13" s="271" t="s">
        <v>242</v>
      </c>
      <c r="J13" s="271"/>
    </row>
    <row r="14" spans="1:10" ht="14.55" customHeight="1">
      <c r="A14" s="269" t="s">
        <v>258</v>
      </c>
      <c r="B14" s="270" t="s">
        <v>259</v>
      </c>
      <c r="C14" s="269">
        <v>0</v>
      </c>
      <c r="D14" s="266"/>
      <c r="E14" s="267"/>
      <c r="F14" s="266"/>
      <c r="G14" s="266"/>
      <c r="H14" s="271" t="s">
        <v>245</v>
      </c>
      <c r="I14" s="271" t="s">
        <v>242</v>
      </c>
      <c r="J14" s="274"/>
    </row>
    <row r="15" spans="1:10" ht="14.55" customHeight="1">
      <c r="A15" s="269" t="s">
        <v>260</v>
      </c>
      <c r="B15" s="270" t="s">
        <v>261</v>
      </c>
      <c r="C15" s="269">
        <f>E15-D15</f>
        <v>0</v>
      </c>
      <c r="D15" s="266"/>
      <c r="E15" s="267"/>
      <c r="F15" s="266"/>
      <c r="G15" s="266"/>
      <c r="H15" s="271" t="s">
        <v>77</v>
      </c>
      <c r="I15" s="271" t="s">
        <v>242</v>
      </c>
      <c r="J15" s="271"/>
    </row>
    <row r="16" spans="1:10" ht="14.55" customHeight="1">
      <c r="A16" s="269" t="s">
        <v>262</v>
      </c>
      <c r="B16" s="270" t="s">
        <v>263</v>
      </c>
      <c r="C16" s="269">
        <v>2</v>
      </c>
      <c r="D16" s="266"/>
      <c r="E16" s="267"/>
      <c r="F16" s="266"/>
      <c r="G16" s="266"/>
      <c r="H16" s="271" t="s">
        <v>77</v>
      </c>
      <c r="I16" s="271" t="s">
        <v>242</v>
      </c>
      <c r="J16" s="271"/>
    </row>
    <row r="17" spans="1:11" ht="14.55" customHeight="1">
      <c r="A17" s="269" t="s">
        <v>264</v>
      </c>
      <c r="B17" s="270" t="s">
        <v>265</v>
      </c>
      <c r="C17" s="269">
        <v>2</v>
      </c>
      <c r="D17" s="266"/>
      <c r="E17" s="267"/>
      <c r="F17" s="266"/>
      <c r="G17" s="266"/>
      <c r="H17" s="271" t="s">
        <v>239</v>
      </c>
      <c r="I17" s="271" t="s">
        <v>242</v>
      </c>
      <c r="J17" s="271"/>
    </row>
    <row r="18" spans="1:11" ht="14.55" customHeight="1">
      <c r="A18" s="269" t="s">
        <v>266</v>
      </c>
      <c r="B18" s="270" t="s">
        <v>267</v>
      </c>
      <c r="C18" s="269">
        <v>2</v>
      </c>
      <c r="D18" s="266"/>
      <c r="E18" s="267"/>
      <c r="F18" s="266"/>
      <c r="G18" s="266"/>
      <c r="H18" s="271" t="s">
        <v>77</v>
      </c>
      <c r="I18" s="271" t="s">
        <v>242</v>
      </c>
      <c r="J18" s="271"/>
    </row>
    <row r="19" spans="1:11" ht="14.55" customHeight="1">
      <c r="A19" s="269" t="s">
        <v>268</v>
      </c>
      <c r="B19" s="269" t="s">
        <v>269</v>
      </c>
      <c r="C19" s="269">
        <v>3</v>
      </c>
      <c r="D19" s="266"/>
      <c r="E19" s="267"/>
      <c r="F19" s="266"/>
      <c r="G19" s="266"/>
      <c r="H19" s="271" t="s">
        <v>270</v>
      </c>
      <c r="I19" s="271" t="s">
        <v>242</v>
      </c>
      <c r="J19" s="271"/>
    </row>
    <row r="20" spans="1:11" ht="14.55" customHeight="1">
      <c r="A20" s="269" t="s">
        <v>271</v>
      </c>
      <c r="B20" s="269" t="s">
        <v>269</v>
      </c>
      <c r="C20" s="269">
        <v>0</v>
      </c>
      <c r="D20" s="266"/>
      <c r="E20" s="267"/>
      <c r="F20" s="266"/>
      <c r="G20" s="266"/>
      <c r="H20" s="271" t="s">
        <v>270</v>
      </c>
      <c r="I20" s="271" t="s">
        <v>242</v>
      </c>
      <c r="J20" s="271"/>
    </row>
    <row r="21" spans="1:11" ht="39" customHeight="1">
      <c r="A21" s="269" t="s">
        <v>272</v>
      </c>
      <c r="B21" s="269" t="s">
        <v>269</v>
      </c>
      <c r="C21" s="269">
        <v>0</v>
      </c>
      <c r="D21" s="266"/>
      <c r="E21" s="267"/>
      <c r="F21" s="266"/>
      <c r="G21" s="266"/>
      <c r="H21" s="271" t="s">
        <v>270</v>
      </c>
      <c r="I21" s="271" t="s">
        <v>242</v>
      </c>
      <c r="J21" s="271"/>
    </row>
    <row r="22" spans="1:11" ht="14.55" customHeight="1">
      <c r="A22" s="269" t="s">
        <v>273</v>
      </c>
      <c r="B22" s="269" t="s">
        <v>269</v>
      </c>
      <c r="C22" s="269">
        <v>0</v>
      </c>
      <c r="D22" s="266"/>
      <c r="E22" s="267"/>
      <c r="F22" s="266"/>
      <c r="G22" s="266"/>
      <c r="H22" s="271" t="s">
        <v>270</v>
      </c>
      <c r="I22" s="271" t="s">
        <v>242</v>
      </c>
      <c r="J22" s="271"/>
    </row>
    <row r="23" spans="1:11" ht="14.55" customHeight="1">
      <c r="A23" s="269" t="s">
        <v>274</v>
      </c>
      <c r="B23" s="270" t="s">
        <v>275</v>
      </c>
      <c r="C23" s="269">
        <v>0</v>
      </c>
      <c r="D23" s="266"/>
      <c r="E23" s="267"/>
      <c r="F23" s="266"/>
      <c r="G23" s="266"/>
      <c r="H23" s="271" t="s">
        <v>245</v>
      </c>
      <c r="I23" s="271" t="s">
        <v>242</v>
      </c>
      <c r="J23" s="271"/>
    </row>
    <row r="24" spans="1:11" ht="15.6">
      <c r="A24" s="269" t="s">
        <v>276</v>
      </c>
      <c r="B24" s="275" t="s">
        <v>277</v>
      </c>
      <c r="C24" s="269">
        <v>0</v>
      </c>
      <c r="D24" s="266"/>
      <c r="E24" s="267"/>
      <c r="F24" s="266"/>
      <c r="G24" s="266"/>
      <c r="H24" s="271" t="s">
        <v>270</v>
      </c>
      <c r="I24" s="271" t="s">
        <v>242</v>
      </c>
      <c r="J24" s="271"/>
    </row>
    <row r="25" spans="1:11" ht="14.55" customHeight="1">
      <c r="A25" s="269" t="s">
        <v>278</v>
      </c>
      <c r="B25" s="270" t="s">
        <v>279</v>
      </c>
      <c r="C25" s="269">
        <v>0</v>
      </c>
      <c r="D25" s="266"/>
      <c r="E25" s="267"/>
      <c r="F25" s="266"/>
      <c r="G25" s="266"/>
      <c r="H25" s="271" t="s">
        <v>239</v>
      </c>
      <c r="I25" s="271" t="s">
        <v>242</v>
      </c>
      <c r="J25" s="271"/>
    </row>
    <row r="26" spans="1:11" ht="14.55" customHeight="1">
      <c r="A26" s="269" t="s">
        <v>280</v>
      </c>
      <c r="B26" s="270" t="s">
        <v>281</v>
      </c>
      <c r="C26" s="269">
        <v>0</v>
      </c>
      <c r="D26" s="266"/>
      <c r="E26" s="267"/>
      <c r="F26" s="266"/>
      <c r="G26" s="266"/>
      <c r="H26" s="271" t="s">
        <v>239</v>
      </c>
      <c r="I26" s="271" t="s">
        <v>242</v>
      </c>
      <c r="J26" s="271"/>
    </row>
    <row r="27" spans="1:11" ht="14.55" customHeight="1">
      <c r="A27" s="269" t="s">
        <v>282</v>
      </c>
      <c r="B27" s="270" t="s">
        <v>283</v>
      </c>
      <c r="C27" s="269">
        <v>0</v>
      </c>
      <c r="D27" s="266"/>
      <c r="E27" s="267"/>
      <c r="F27" s="266"/>
      <c r="G27" s="266"/>
      <c r="H27" s="271" t="s">
        <v>239</v>
      </c>
      <c r="I27" s="271" t="s">
        <v>242</v>
      </c>
      <c r="J27" s="271"/>
    </row>
    <row r="28" spans="1:11" ht="14.55" customHeight="1">
      <c r="A28" s="269" t="s">
        <v>284</v>
      </c>
      <c r="B28" s="270" t="s">
        <v>285</v>
      </c>
      <c r="C28" s="269">
        <v>2</v>
      </c>
      <c r="D28" s="266"/>
      <c r="E28" s="267"/>
      <c r="F28" s="266"/>
      <c r="G28" s="266"/>
      <c r="H28" s="271" t="s">
        <v>239</v>
      </c>
      <c r="I28" s="271" t="s">
        <v>242</v>
      </c>
      <c r="J28" s="271"/>
    </row>
    <row r="29" spans="1:11" s="277" customFormat="1" ht="14.55" customHeight="1">
      <c r="A29" s="269" t="s">
        <v>286</v>
      </c>
      <c r="B29" s="270" t="s">
        <v>287</v>
      </c>
      <c r="C29" s="269">
        <v>5</v>
      </c>
      <c r="D29" s="266"/>
      <c r="E29" s="267"/>
      <c r="F29" s="266"/>
      <c r="G29" s="276"/>
      <c r="H29" s="271" t="s">
        <v>77</v>
      </c>
      <c r="I29" s="271" t="s">
        <v>242</v>
      </c>
      <c r="J29" s="271"/>
      <c r="K29" s="263"/>
    </row>
    <row r="30" spans="1:11" s="277" customFormat="1" ht="14.55" customHeight="1">
      <c r="A30" s="269" t="s">
        <v>288</v>
      </c>
      <c r="B30" s="270" t="s">
        <v>289</v>
      </c>
      <c r="C30" s="269">
        <v>2</v>
      </c>
      <c r="D30" s="266"/>
      <c r="E30" s="267"/>
      <c r="F30" s="266"/>
      <c r="G30" s="278"/>
      <c r="H30" s="271" t="s">
        <v>239</v>
      </c>
      <c r="I30" s="271" t="s">
        <v>242</v>
      </c>
      <c r="J30" s="271"/>
      <c r="K30" s="263"/>
    </row>
    <row r="31" spans="1:11" s="277" customFormat="1" ht="14.55" customHeight="1">
      <c r="A31" s="269" t="s">
        <v>290</v>
      </c>
      <c r="B31" s="270" t="s">
        <v>291</v>
      </c>
      <c r="C31" s="269">
        <v>3</v>
      </c>
      <c r="D31" s="266"/>
      <c r="E31" s="267"/>
      <c r="F31" s="266"/>
      <c r="G31" s="278"/>
      <c r="H31" s="271" t="s">
        <v>239</v>
      </c>
      <c r="I31" s="271" t="s">
        <v>242</v>
      </c>
      <c r="J31" s="271"/>
      <c r="K31" s="263"/>
    </row>
    <row r="32" spans="1:11" s="277" customFormat="1" ht="14.55" customHeight="1">
      <c r="A32" s="269" t="s">
        <v>292</v>
      </c>
      <c r="B32" s="270" t="s">
        <v>293</v>
      </c>
      <c r="C32" s="269">
        <v>2</v>
      </c>
      <c r="D32" s="266"/>
      <c r="E32" s="267"/>
      <c r="F32" s="266"/>
      <c r="G32" s="278"/>
      <c r="H32" s="271" t="s">
        <v>239</v>
      </c>
      <c r="I32" s="271" t="s">
        <v>242</v>
      </c>
      <c r="J32" s="271"/>
      <c r="K32" s="263"/>
    </row>
    <row r="33" spans="1:10" ht="14.55" customHeight="1">
      <c r="A33" s="274" t="s">
        <v>154</v>
      </c>
      <c r="B33" s="270" t="s">
        <v>294</v>
      </c>
      <c r="C33" s="274">
        <v>2</v>
      </c>
      <c r="D33" s="266"/>
      <c r="E33" s="267"/>
      <c r="F33" s="271"/>
      <c r="G33" s="271"/>
      <c r="H33" s="271" t="s">
        <v>239</v>
      </c>
      <c r="I33" s="271" t="s">
        <v>242</v>
      </c>
      <c r="J33" s="27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2DDE-AF5A-4356-93C6-B650D6BF33D5}">
  <sheetPr>
    <tabColor rgb="FF7030A0"/>
  </sheetPr>
  <dimension ref="A1:Q92"/>
  <sheetViews>
    <sheetView zoomScaleNormal="130" workbookViewId="0">
      <pane ySplit="2" topLeftCell="A3" activePane="bottomLeft" state="frozen"/>
      <selection pane="bottomLeft" activeCell="K4" sqref="K4"/>
    </sheetView>
  </sheetViews>
  <sheetFormatPr defaultColWidth="0" defaultRowHeight="13.8"/>
  <cols>
    <col min="1" max="1" width="6.5" style="81" bestFit="1" customWidth="1"/>
    <col min="2" max="2" width="13.69921875" style="81" bestFit="1" customWidth="1"/>
    <col min="3" max="3" width="19.59765625" style="78" customWidth="1"/>
    <col min="4" max="4" width="27.5" style="71" bestFit="1" customWidth="1"/>
    <col min="5" max="5" width="9.19921875" style="81" bestFit="1" customWidth="1"/>
    <col min="6" max="6" width="10.09765625" style="81" bestFit="1" customWidth="1"/>
    <col min="7" max="7" width="15.69921875" style="81" bestFit="1" customWidth="1"/>
    <col min="8" max="8" width="11.59765625" style="81" bestFit="1" customWidth="1"/>
    <col min="9" max="9" width="13.19921875" style="81" bestFit="1" customWidth="1"/>
    <col min="10" max="10" width="12" style="81" bestFit="1" customWidth="1"/>
    <col min="11" max="11" width="11.3984375" style="84" customWidth="1"/>
    <col min="12" max="15" width="68" style="71" customWidth="1"/>
    <col min="16" max="17" width="0" style="72" hidden="1" customWidth="1"/>
    <col min="18" max="16384" width="9.09765625" style="72" hidden="1"/>
  </cols>
  <sheetData>
    <row r="1" spans="1:11">
      <c r="A1" s="313" t="s">
        <v>295</v>
      </c>
      <c r="B1" s="313"/>
      <c r="C1" s="313"/>
      <c r="D1" s="34" t="s">
        <v>296</v>
      </c>
      <c r="E1" s="312">
        <f ca="1">TODAY()</f>
        <v>46120</v>
      </c>
      <c r="F1" s="312"/>
      <c r="G1" s="312"/>
      <c r="H1" s="312"/>
      <c r="I1" s="312"/>
      <c r="J1" s="312"/>
      <c r="K1" s="312"/>
    </row>
    <row r="2" spans="1:11">
      <c r="A2" s="73" t="s">
        <v>297</v>
      </c>
      <c r="B2" s="73" t="s">
        <v>298</v>
      </c>
      <c r="C2" s="74" t="s">
        <v>299</v>
      </c>
      <c r="D2" s="73" t="s">
        <v>300</v>
      </c>
      <c r="E2" s="73" t="s">
        <v>9</v>
      </c>
      <c r="F2" s="73" t="s">
        <v>10</v>
      </c>
      <c r="G2" s="73" t="s">
        <v>301</v>
      </c>
      <c r="H2" s="73" t="s">
        <v>302</v>
      </c>
      <c r="I2" s="73" t="s">
        <v>303</v>
      </c>
      <c r="J2" s="73" t="s">
        <v>230</v>
      </c>
      <c r="K2" s="74" t="s">
        <v>120</v>
      </c>
    </row>
    <row r="3" spans="1:11">
      <c r="A3" s="75"/>
      <c r="B3" s="75"/>
      <c r="C3" s="75"/>
      <c r="D3" s="75"/>
      <c r="E3" s="75"/>
      <c r="F3" s="75"/>
      <c r="G3" s="75"/>
      <c r="H3" s="75"/>
      <c r="I3" s="75"/>
      <c r="J3" s="75"/>
      <c r="K3" s="75"/>
    </row>
    <row r="4" spans="1:11">
      <c r="A4" s="75"/>
      <c r="B4" s="75"/>
      <c r="C4" s="75"/>
      <c r="D4" s="75"/>
      <c r="E4" s="75"/>
      <c r="F4" s="75"/>
      <c r="G4" s="75"/>
      <c r="H4" s="75"/>
      <c r="I4" s="75"/>
      <c r="J4" s="75"/>
      <c r="K4" s="75"/>
    </row>
    <row r="5" spans="1:11">
      <c r="A5" s="75"/>
      <c r="B5" s="75"/>
      <c r="C5" s="75"/>
      <c r="D5" s="75"/>
      <c r="E5" s="75"/>
      <c r="F5" s="75"/>
      <c r="G5" s="75"/>
      <c r="H5" s="75"/>
      <c r="I5" s="75"/>
      <c r="J5" s="75"/>
      <c r="K5" s="75"/>
    </row>
    <row r="6" spans="1:11">
      <c r="A6" s="75"/>
      <c r="B6" s="75"/>
      <c r="C6" s="75"/>
      <c r="D6" s="75"/>
      <c r="E6" s="75"/>
      <c r="F6" s="75"/>
      <c r="G6" s="75"/>
      <c r="H6" s="75"/>
      <c r="I6" s="75"/>
      <c r="J6" s="75"/>
      <c r="K6" s="75"/>
    </row>
    <row r="7" spans="1:11">
      <c r="A7" s="75"/>
      <c r="B7" s="75"/>
      <c r="C7" s="75"/>
      <c r="D7" s="75"/>
      <c r="E7" s="75"/>
      <c r="F7" s="75"/>
      <c r="G7" s="75"/>
      <c r="H7" s="75"/>
      <c r="I7" s="75"/>
      <c r="J7" s="75"/>
      <c r="K7" s="75"/>
    </row>
    <row r="8" spans="1:11">
      <c r="D8" s="79"/>
      <c r="E8" s="76"/>
      <c r="F8" s="76"/>
      <c r="G8" s="80"/>
      <c r="H8" s="83"/>
      <c r="I8" s="83"/>
      <c r="J8" s="80"/>
    </row>
    <row r="9" spans="1:11">
      <c r="B9" s="82"/>
      <c r="D9" s="81"/>
      <c r="F9" s="76"/>
      <c r="G9" s="80"/>
      <c r="H9" s="83"/>
      <c r="I9" s="83"/>
    </row>
    <row r="10" spans="1:11">
      <c r="D10" s="81"/>
      <c r="E10" s="76"/>
      <c r="F10" s="76"/>
      <c r="G10" s="80"/>
      <c r="H10" s="83"/>
      <c r="I10" s="83"/>
    </row>
    <row r="11" spans="1:11">
      <c r="D11" s="81"/>
      <c r="E11" s="76"/>
      <c r="F11" s="76"/>
      <c r="G11" s="80"/>
      <c r="H11" s="83"/>
      <c r="I11" s="83"/>
      <c r="K11" s="85"/>
    </row>
    <row r="12" spans="1:11">
      <c r="D12" s="81"/>
      <c r="E12" s="76"/>
      <c r="F12" s="76"/>
      <c r="G12" s="80"/>
      <c r="H12" s="83"/>
      <c r="I12" s="83"/>
    </row>
    <row r="13" spans="1:11">
      <c r="D13" s="81"/>
      <c r="E13" s="76"/>
      <c r="F13" s="76"/>
      <c r="G13" s="80"/>
      <c r="H13" s="83"/>
      <c r="I13" s="83"/>
    </row>
    <row r="14" spans="1:11">
      <c r="D14" s="81"/>
      <c r="E14" s="76"/>
      <c r="F14" s="76"/>
      <c r="G14" s="80"/>
      <c r="H14" s="83"/>
      <c r="I14" s="83"/>
    </row>
    <row r="15" spans="1:11">
      <c r="D15" s="81"/>
      <c r="E15" s="76"/>
      <c r="F15" s="77"/>
      <c r="G15" s="86"/>
      <c r="H15" s="83"/>
      <c r="I15" s="83"/>
    </row>
    <row r="16" spans="1:11">
      <c r="D16" s="81"/>
      <c r="E16" s="76"/>
      <c r="H16" s="83"/>
      <c r="I16" s="83"/>
    </row>
    <row r="17" spans="4:9">
      <c r="D17" s="81"/>
      <c r="E17" s="76"/>
      <c r="H17" s="83"/>
      <c r="I17" s="83"/>
    </row>
    <row r="18" spans="4:9">
      <c r="D18" s="81"/>
      <c r="E18" s="76"/>
      <c r="H18" s="83"/>
      <c r="I18" s="83"/>
    </row>
    <row r="19" spans="4:9">
      <c r="D19" s="81"/>
      <c r="E19" s="76"/>
      <c r="H19" s="83"/>
      <c r="I19" s="83"/>
    </row>
    <row r="20" spans="4:9">
      <c r="D20" s="81"/>
      <c r="E20" s="76"/>
      <c r="H20" s="83"/>
      <c r="I20" s="83"/>
    </row>
    <row r="21" spans="4:9">
      <c r="D21" s="81"/>
      <c r="E21" s="76"/>
      <c r="H21" s="83"/>
      <c r="I21" s="83"/>
    </row>
    <row r="22" spans="4:9">
      <c r="D22" s="81"/>
      <c r="E22" s="76"/>
      <c r="H22" s="83"/>
      <c r="I22" s="83"/>
    </row>
    <row r="23" spans="4:9">
      <c r="D23" s="81"/>
      <c r="E23" s="76"/>
      <c r="H23" s="83"/>
      <c r="I23" s="83"/>
    </row>
    <row r="24" spans="4:9">
      <c r="D24" s="81"/>
      <c r="E24" s="76"/>
      <c r="H24" s="83"/>
      <c r="I24" s="83"/>
    </row>
    <row r="25" spans="4:9">
      <c r="D25" s="81"/>
      <c r="E25" s="76"/>
      <c r="H25" s="83"/>
      <c r="I25" s="83"/>
    </row>
    <row r="26" spans="4:9">
      <c r="D26" s="81"/>
      <c r="E26" s="76"/>
      <c r="H26" s="83"/>
      <c r="I26" s="83"/>
    </row>
    <row r="27" spans="4:9">
      <c r="D27" s="81"/>
      <c r="E27" s="76"/>
      <c r="H27" s="83"/>
      <c r="I27" s="83"/>
    </row>
    <row r="28" spans="4:9">
      <c r="D28" s="81"/>
      <c r="E28" s="76"/>
      <c r="H28" s="83"/>
      <c r="I28" s="83"/>
    </row>
    <row r="29" spans="4:9">
      <c r="D29" s="81"/>
      <c r="E29" s="76"/>
      <c r="H29" s="83"/>
      <c r="I29" s="83"/>
    </row>
    <row r="30" spans="4:9">
      <c r="D30" s="81"/>
      <c r="E30" s="76"/>
      <c r="H30" s="83"/>
      <c r="I30" s="83"/>
    </row>
    <row r="31" spans="4:9">
      <c r="D31" s="81"/>
      <c r="E31" s="76"/>
      <c r="H31" s="83"/>
      <c r="I31" s="83"/>
    </row>
    <row r="32" spans="4:9">
      <c r="D32" s="81"/>
      <c r="E32" s="76"/>
      <c r="H32" s="83"/>
      <c r="I32" s="83"/>
    </row>
    <row r="33" spans="4:9">
      <c r="D33" s="81"/>
      <c r="E33" s="76"/>
      <c r="H33" s="83"/>
      <c r="I33" s="83"/>
    </row>
    <row r="34" spans="4:9">
      <c r="D34" s="81"/>
      <c r="E34" s="76"/>
      <c r="H34" s="83"/>
      <c r="I34" s="83"/>
    </row>
    <row r="35" spans="4:9">
      <c r="D35" s="81"/>
      <c r="E35" s="76"/>
      <c r="H35" s="83"/>
      <c r="I35" s="83"/>
    </row>
    <row r="36" spans="4:9">
      <c r="D36" s="81"/>
      <c r="E36" s="76"/>
      <c r="H36" s="83"/>
      <c r="I36" s="83"/>
    </row>
    <row r="37" spans="4:9">
      <c r="D37" s="81"/>
      <c r="E37" s="76"/>
      <c r="H37" s="83"/>
      <c r="I37" s="83"/>
    </row>
    <row r="38" spans="4:9">
      <c r="D38" s="81"/>
      <c r="E38" s="76"/>
      <c r="H38" s="83"/>
      <c r="I38" s="83"/>
    </row>
    <row r="39" spans="4:9">
      <c r="D39" s="81"/>
      <c r="E39" s="76"/>
      <c r="H39" s="83"/>
      <c r="I39" s="83"/>
    </row>
    <row r="40" spans="4:9">
      <c r="D40" s="81"/>
      <c r="E40" s="76"/>
      <c r="H40" s="83"/>
      <c r="I40" s="83"/>
    </row>
    <row r="41" spans="4:9">
      <c r="D41" s="81"/>
      <c r="E41" s="76"/>
      <c r="H41" s="83"/>
      <c r="I41" s="83"/>
    </row>
    <row r="42" spans="4:9">
      <c r="D42" s="81"/>
      <c r="E42" s="76"/>
      <c r="H42" s="83"/>
      <c r="I42" s="83"/>
    </row>
    <row r="43" spans="4:9">
      <c r="D43" s="81"/>
      <c r="E43" s="76"/>
      <c r="H43" s="83"/>
      <c r="I43" s="83"/>
    </row>
    <row r="44" spans="4:9">
      <c r="D44" s="81"/>
      <c r="E44" s="76"/>
      <c r="H44" s="83"/>
      <c r="I44" s="83"/>
    </row>
    <row r="45" spans="4:9">
      <c r="D45" s="81"/>
      <c r="E45" s="76"/>
      <c r="H45" s="83"/>
      <c r="I45" s="83"/>
    </row>
    <row r="46" spans="4:9">
      <c r="D46" s="81"/>
      <c r="E46" s="76"/>
      <c r="H46" s="83"/>
      <c r="I46" s="83"/>
    </row>
    <row r="47" spans="4:9">
      <c r="D47" s="81"/>
      <c r="E47" s="76"/>
      <c r="H47" s="83"/>
      <c r="I47" s="83"/>
    </row>
    <row r="48" spans="4:9">
      <c r="D48" s="81"/>
      <c r="E48" s="76"/>
      <c r="H48" s="83"/>
      <c r="I48" s="83"/>
    </row>
    <row r="49" spans="4:9">
      <c r="D49" s="81"/>
      <c r="E49" s="76"/>
      <c r="H49" s="83"/>
      <c r="I49" s="83"/>
    </row>
    <row r="50" spans="4:9">
      <c r="D50" s="81"/>
      <c r="E50" s="76"/>
      <c r="H50" s="83"/>
      <c r="I50" s="83"/>
    </row>
    <row r="51" spans="4:9">
      <c r="D51" s="81"/>
      <c r="E51" s="76"/>
      <c r="H51" s="83"/>
      <c r="I51" s="83"/>
    </row>
    <row r="52" spans="4:9">
      <c r="D52" s="81"/>
      <c r="E52" s="76"/>
      <c r="H52" s="83"/>
      <c r="I52" s="83"/>
    </row>
    <row r="53" spans="4:9">
      <c r="D53" s="81"/>
      <c r="E53" s="76"/>
      <c r="H53" s="83"/>
      <c r="I53" s="83"/>
    </row>
    <row r="54" spans="4:9">
      <c r="D54" s="81"/>
      <c r="E54" s="76"/>
      <c r="H54" s="83"/>
      <c r="I54" s="83"/>
    </row>
    <row r="55" spans="4:9">
      <c r="D55" s="81"/>
      <c r="E55" s="76"/>
      <c r="H55" s="83"/>
      <c r="I55" s="83"/>
    </row>
    <row r="56" spans="4:9">
      <c r="D56" s="81"/>
      <c r="E56" s="76"/>
      <c r="H56" s="83"/>
      <c r="I56" s="83"/>
    </row>
    <row r="57" spans="4:9">
      <c r="D57" s="81"/>
      <c r="E57" s="76"/>
      <c r="H57" s="83"/>
      <c r="I57" s="83"/>
    </row>
    <row r="58" spans="4:9">
      <c r="D58" s="81"/>
      <c r="E58" s="76"/>
      <c r="H58" s="83"/>
      <c r="I58" s="83"/>
    </row>
    <row r="59" spans="4:9">
      <c r="D59" s="81"/>
      <c r="E59" s="76"/>
      <c r="H59" s="83"/>
      <c r="I59" s="83"/>
    </row>
    <row r="60" spans="4:9">
      <c r="D60" s="81"/>
      <c r="E60" s="76"/>
      <c r="H60" s="83"/>
      <c r="I60" s="83"/>
    </row>
    <row r="61" spans="4:9">
      <c r="D61" s="81"/>
      <c r="E61" s="76"/>
      <c r="H61" s="83"/>
      <c r="I61" s="83"/>
    </row>
    <row r="62" spans="4:9">
      <c r="D62" s="81"/>
      <c r="E62" s="76"/>
      <c r="H62" s="83"/>
      <c r="I62" s="83"/>
    </row>
    <row r="63" spans="4:9">
      <c r="D63" s="81"/>
      <c r="E63" s="76"/>
      <c r="H63" s="83"/>
      <c r="I63" s="83"/>
    </row>
    <row r="64" spans="4:9">
      <c r="D64" s="81"/>
      <c r="E64" s="76"/>
      <c r="H64" s="83"/>
      <c r="I64" s="83"/>
    </row>
    <row r="65" spans="2:9">
      <c r="D65" s="81"/>
      <c r="E65" s="76"/>
      <c r="H65" s="83"/>
      <c r="I65" s="83"/>
    </row>
    <row r="66" spans="2:9">
      <c r="D66" s="81"/>
      <c r="E66" s="76"/>
      <c r="H66" s="83"/>
      <c r="I66" s="83"/>
    </row>
    <row r="67" spans="2:9">
      <c r="D67" s="81"/>
      <c r="E67" s="76"/>
      <c r="H67" s="83"/>
      <c r="I67" s="83"/>
    </row>
    <row r="68" spans="2:9">
      <c r="D68" s="81"/>
      <c r="E68" s="76"/>
      <c r="H68" s="83"/>
      <c r="I68" s="83"/>
    </row>
    <row r="69" spans="2:9">
      <c r="D69" s="81"/>
      <c r="E69" s="76"/>
      <c r="H69" s="83"/>
      <c r="I69" s="83"/>
    </row>
    <row r="70" spans="2:9">
      <c r="D70" s="81"/>
      <c r="E70" s="76"/>
      <c r="H70" s="83"/>
      <c r="I70" s="83"/>
    </row>
    <row r="71" spans="2:9">
      <c r="D71" s="81"/>
      <c r="E71" s="76"/>
      <c r="H71" s="83"/>
      <c r="I71" s="83"/>
    </row>
    <row r="72" spans="2:9">
      <c r="D72" s="81"/>
      <c r="E72" s="76"/>
      <c r="H72" s="83"/>
      <c r="I72" s="83"/>
    </row>
    <row r="73" spans="2:9">
      <c r="B73" s="82"/>
      <c r="D73" s="81"/>
      <c r="H73" s="83"/>
      <c r="I73" s="83"/>
    </row>
    <row r="74" spans="2:9">
      <c r="B74" s="82"/>
      <c r="D74" s="81"/>
      <c r="H74" s="83"/>
      <c r="I74" s="83"/>
    </row>
    <row r="75" spans="2:9">
      <c r="B75" s="82"/>
      <c r="D75" s="81"/>
      <c r="H75" s="83"/>
      <c r="I75" s="83"/>
    </row>
    <row r="76" spans="2:9">
      <c r="B76" s="82"/>
      <c r="D76" s="81"/>
      <c r="H76" s="83"/>
      <c r="I76" s="83"/>
    </row>
    <row r="77" spans="2:9">
      <c r="B77" s="82"/>
      <c r="D77" s="81"/>
      <c r="H77" s="83"/>
      <c r="I77" s="83"/>
    </row>
    <row r="78" spans="2:9">
      <c r="D78" s="81"/>
    </row>
    <row r="79" spans="2:9">
      <c r="D79" s="81"/>
    </row>
    <row r="80" spans="2:9">
      <c r="D80" s="81"/>
    </row>
    <row r="81" spans="4:4">
      <c r="D81" s="81"/>
    </row>
    <row r="82" spans="4:4">
      <c r="D82" s="81"/>
    </row>
    <row r="83" spans="4:4">
      <c r="D83" s="81"/>
    </row>
    <row r="84" spans="4:4">
      <c r="D84" s="81"/>
    </row>
    <row r="85" spans="4:4">
      <c r="D85" s="81"/>
    </row>
    <row r="86" spans="4:4">
      <c r="D86" s="81"/>
    </row>
    <row r="87" spans="4:4">
      <c r="D87" s="81"/>
    </row>
    <row r="88" spans="4:4">
      <c r="D88" s="81"/>
    </row>
    <row r="89" spans="4:4">
      <c r="D89" s="81"/>
    </row>
    <row r="90" spans="4:4">
      <c r="D90" s="81"/>
    </row>
    <row r="91" spans="4:4">
      <c r="D91" s="81"/>
    </row>
    <row r="92" spans="4:4">
      <c r="D92" s="81"/>
    </row>
  </sheetData>
  <mergeCells count="2">
    <mergeCell ref="E1:K1"/>
    <mergeCell ref="A1:C1"/>
  </mergeCells>
  <conditionalFormatting sqref="D2">
    <cfRule type="cellIs" dxfId="50" priority="1" operator="equal">
      <formula>"Closed- Pending Review"</formula>
    </cfRule>
  </conditionalFormatting>
  <conditionalFormatting sqref="E2 E8 E10:E77">
    <cfRule type="cellIs" dxfId="49" priority="4" operator="equal">
      <formula>"Closed- Pending Review"</formula>
    </cfRule>
  </conditionalFormatting>
  <conditionalFormatting sqref="E8 E10:E77">
    <cfRule type="cellIs" dxfId="48" priority="2" operator="equal">
      <formula>"Closed- Pending Review"</formula>
    </cfRule>
    <cfRule type="cellIs" dxfId="47" priority="3" operator="equal">
      <formula>"Closed- Pending Review"</formula>
    </cfRule>
    <cfRule type="cellIs" dxfId="46" priority="5" operator="equal">
      <formula>"Closed-Pending Review"</formula>
    </cfRule>
    <cfRule type="cellIs" dxfId="45" priority="6" operator="equal">
      <formula>"Closed-Pending Review"</formula>
    </cfRule>
  </conditionalFormatting>
  <conditionalFormatting sqref="E10 E23">
    <cfRule type="containsText" dxfId="44" priority="9" operator="containsText" text="Closed-Pending Review">
      <formula>NOT(ISERROR(SEARCH("Closed-Pending Review",E10)))</formula>
    </cfRule>
  </conditionalFormatting>
  <conditionalFormatting sqref="E10">
    <cfRule type="cellIs" dxfId="43" priority="7" operator="equal">
      <formula>"Closed-Pending Review"</formula>
    </cfRule>
  </conditionalFormatting>
  <conditionalFormatting sqref="E10:E77 E8">
    <cfRule type="cellIs" dxfId="42" priority="13" operator="equal">
      <formula>"Not Started"</formula>
    </cfRule>
    <cfRule type="cellIs" dxfId="41" priority="14" operator="equal">
      <formula>"In Progress"</formula>
    </cfRule>
    <cfRule type="cellIs" dxfId="40" priority="15" operator="equal">
      <formula>"Complete"</formula>
    </cfRule>
    <cfRule type="cellIs" dxfId="39" priority="16" operator="equal">
      <formula>"Behind"</formula>
    </cfRule>
  </conditionalFormatting>
  <conditionalFormatting sqref="F8:G77">
    <cfRule type="cellIs" dxfId="38" priority="10" operator="equal">
      <formula>"Low"</formula>
    </cfRule>
    <cfRule type="cellIs" dxfId="37" priority="11" operator="equal">
      <formula>"Medium"</formula>
    </cfRule>
    <cfRule type="cellIs" dxfId="36" priority="12" operator="equal">
      <formula>"High"</formula>
    </cfRule>
  </conditionalFormatting>
  <dataValidations count="1">
    <dataValidation allowBlank="1" showInputMessage="1" showErrorMessage="1" promptTitle="Enter in a Dated Note" sqref="K1:K2 K8:K1048576" xr:uid="{C0A52482-CB2D-4E4F-AB9C-784E27B60986}"/>
  </dataValidations>
  <pageMargins left="0.7" right="0.7" top="0.75" bottom="0.75" header="0.3" footer="0.3"/>
  <pageSetup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3D989904-7916-451B-AC87-6AAC14F99FC7}">
          <x14:formula1>
            <xm:f>Lists!$A$17:$A$20</xm:f>
          </x14:formula1>
          <xm:sqref>D8:D77</xm:sqref>
        </x14:dataValidation>
        <x14:dataValidation type="list" allowBlank="1" showInputMessage="1" showErrorMessage="1" xr:uid="{F79CC927-7E03-40A5-AF6E-45F8F8810587}">
          <x14:formula1>
            <xm:f>Lists!$B$17:$B$19</xm:f>
          </x14:formula1>
          <xm:sqref>E8:E77</xm:sqref>
        </x14:dataValidation>
        <x14:dataValidation type="list" allowBlank="1" showInputMessage="1" showErrorMessage="1" xr:uid="{A8D0A855-577B-4181-928F-8B937B5629F4}">
          <x14:formula1>
            <xm:f>Lists!$C$17:$C$19</xm:f>
          </x14:formula1>
          <xm:sqref>F8:F77</xm:sqref>
        </x14:dataValidation>
        <x14:dataValidation type="list" allowBlank="1" showInputMessage="1" showErrorMessage="1" xr:uid="{71C8EFBC-6022-4E22-8816-B73BF2EB5E4F}">
          <x14:formula1>
            <xm:f>Lists!$D$17:$D$18</xm:f>
          </x14:formula1>
          <xm:sqref>G8:G77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39D0-A814-4977-B07A-DA5AA11B4698}">
  <sheetPr>
    <pageSetUpPr fitToPage="1"/>
  </sheetPr>
  <dimension ref="A1:DP31"/>
  <sheetViews>
    <sheetView showGridLines="0" showRuler="0" zoomScaleNormal="100" zoomScalePageLayoutView="70" workbookViewId="0">
      <selection activeCell="B11" sqref="B11:B12"/>
    </sheetView>
  </sheetViews>
  <sheetFormatPr defaultColWidth="8" defaultRowHeight="30" customHeight="1"/>
  <cols>
    <col min="1" max="1" width="4.19921875" style="90" customWidth="1"/>
    <col min="2" max="2" width="27.59765625" style="88" customWidth="1"/>
    <col min="3" max="3" width="14.09765625" style="88" customWidth="1"/>
    <col min="4" max="4" width="9.19921875" style="89" customWidth="1"/>
    <col min="5" max="5" width="9.19921875" style="88" customWidth="1"/>
    <col min="6" max="6" width="2.19921875" style="88" customWidth="1"/>
    <col min="7" max="54" width="3.19921875" style="88" customWidth="1"/>
    <col min="55" max="55" width="2.19921875" style="88" customWidth="1"/>
    <col min="56" max="59" width="3.19921875" style="88" customWidth="1"/>
    <col min="60" max="89" width="3.69921875" style="88" customWidth="1"/>
    <col min="90" max="120" width="3.59765625" style="88" customWidth="1"/>
    <col min="121" max="16384" width="8" style="88"/>
  </cols>
  <sheetData>
    <row r="1" spans="1:120" ht="25.2" customHeight="1"/>
    <row r="2" spans="1:120" ht="49.95" customHeight="1">
      <c r="A2" s="100"/>
      <c r="B2" s="322" t="s">
        <v>304</v>
      </c>
      <c r="C2" s="322"/>
      <c r="D2" s="322"/>
      <c r="E2" s="322"/>
      <c r="F2" s="322"/>
      <c r="G2" s="323"/>
      <c r="H2" s="323"/>
      <c r="I2" s="323"/>
      <c r="J2" s="323"/>
      <c r="K2" s="323"/>
      <c r="L2" s="324"/>
      <c r="M2" s="324"/>
      <c r="N2" s="324"/>
      <c r="O2" s="324"/>
      <c r="P2" s="324"/>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row>
    <row r="3" spans="1:120" ht="19.95" customHeight="1">
      <c r="A3" s="100"/>
      <c r="B3" s="119"/>
      <c r="C3" s="117"/>
      <c r="D3" s="118"/>
      <c r="E3" s="117"/>
      <c r="F3" s="117"/>
      <c r="G3" s="116"/>
      <c r="H3" s="93"/>
      <c r="I3" s="93"/>
      <c r="J3" s="93"/>
    </row>
    <row r="4" spans="1:120" ht="30" customHeight="1" thickBot="1">
      <c r="A4" s="100"/>
      <c r="B4" s="115"/>
      <c r="C4" s="98"/>
      <c r="D4" s="114"/>
      <c r="E4" s="98"/>
      <c r="F4" s="98"/>
    </row>
    <row r="5" spans="1:120" ht="30" customHeight="1">
      <c r="A5" s="100"/>
      <c r="B5" s="113"/>
      <c r="C5" s="98"/>
      <c r="D5" s="114"/>
      <c r="E5" s="98"/>
      <c r="F5" s="98"/>
      <c r="G5" s="316" t="s">
        <v>305</v>
      </c>
      <c r="H5" s="317"/>
      <c r="I5" s="317"/>
      <c r="J5" s="317"/>
      <c r="K5" s="317"/>
      <c r="L5" s="317"/>
      <c r="M5" s="317"/>
      <c r="N5" s="317"/>
      <c r="O5" s="317"/>
      <c r="P5" s="317"/>
      <c r="Q5" s="317"/>
      <c r="R5" s="317"/>
      <c r="S5" s="317"/>
      <c r="T5" s="317"/>
      <c r="U5" s="317"/>
      <c r="V5" s="317"/>
      <c r="W5" s="317"/>
      <c r="X5" s="317"/>
      <c r="Y5" s="317"/>
      <c r="Z5" s="317"/>
      <c r="AA5" s="317"/>
      <c r="AB5" s="318"/>
      <c r="AC5" s="319" t="s">
        <v>306</v>
      </c>
      <c r="AD5" s="320"/>
      <c r="AE5" s="320"/>
      <c r="AF5" s="320"/>
      <c r="AG5" s="320"/>
      <c r="AH5" s="320"/>
      <c r="AI5" s="320"/>
      <c r="AJ5" s="320"/>
      <c r="AK5" s="320"/>
      <c r="AL5" s="320"/>
      <c r="AM5" s="320"/>
      <c r="AN5" s="320"/>
      <c r="AO5" s="320"/>
      <c r="AP5" s="320"/>
      <c r="AQ5" s="320"/>
      <c r="AR5" s="320"/>
      <c r="AS5" s="320"/>
      <c r="AT5" s="320"/>
      <c r="AU5" s="320"/>
      <c r="AV5" s="320"/>
      <c r="AW5" s="320"/>
      <c r="AX5" s="320"/>
      <c r="AY5" s="320"/>
      <c r="AZ5" s="320"/>
      <c r="BA5" s="320"/>
      <c r="BB5" s="320"/>
      <c r="BC5" s="320"/>
      <c r="BD5" s="320"/>
      <c r="BE5" s="320"/>
      <c r="BF5" s="320"/>
      <c r="BG5" s="320"/>
      <c r="BH5" s="321" t="s">
        <v>307</v>
      </c>
      <c r="BI5" s="321"/>
      <c r="BJ5" s="321"/>
      <c r="BK5" s="321"/>
      <c r="BL5" s="321"/>
      <c r="BM5" s="321"/>
      <c r="BN5" s="321"/>
      <c r="BO5" s="321"/>
      <c r="BP5" s="321"/>
      <c r="BQ5" s="321"/>
      <c r="BR5" s="321"/>
      <c r="BS5" s="321"/>
      <c r="BT5" s="321"/>
      <c r="BU5" s="321"/>
      <c r="BV5" s="321"/>
      <c r="BW5" s="321"/>
      <c r="BX5" s="321"/>
      <c r="BY5" s="321"/>
      <c r="BZ5" s="321"/>
      <c r="CA5" s="321"/>
      <c r="CB5" s="321"/>
      <c r="CC5" s="321"/>
      <c r="CD5" s="321"/>
      <c r="CE5" s="321"/>
      <c r="CF5" s="321"/>
      <c r="CG5" s="321"/>
      <c r="CH5" s="321"/>
      <c r="CI5" s="321"/>
      <c r="CJ5" s="321"/>
      <c r="CK5" s="321"/>
      <c r="CL5" s="321" t="s">
        <v>308</v>
      </c>
      <c r="CM5" s="321"/>
      <c r="CN5" s="321"/>
      <c r="CO5" s="321"/>
      <c r="CP5" s="321"/>
      <c r="CQ5" s="321"/>
      <c r="CR5" s="321"/>
      <c r="CS5" s="321"/>
      <c r="CT5" s="321"/>
      <c r="CU5" s="321"/>
      <c r="CV5" s="321"/>
      <c r="CW5" s="321"/>
      <c r="CX5" s="321"/>
      <c r="CY5" s="321"/>
      <c r="CZ5" s="321"/>
      <c r="DA5" s="321"/>
      <c r="DB5" s="321"/>
      <c r="DC5" s="321"/>
      <c r="DD5" s="321"/>
      <c r="DE5" s="321"/>
      <c r="DF5" s="321"/>
      <c r="DG5" s="321"/>
      <c r="DH5" s="321"/>
      <c r="DI5" s="321"/>
      <c r="DJ5" s="321"/>
      <c r="DK5" s="321"/>
      <c r="DL5" s="321"/>
      <c r="DM5" s="321"/>
      <c r="DN5" s="321"/>
      <c r="DO5" s="321"/>
      <c r="DP5" s="321"/>
    </row>
    <row r="6" spans="1:120" ht="30" customHeight="1">
      <c r="A6" s="100"/>
      <c r="B6" s="113"/>
      <c r="C6" s="98"/>
      <c r="D6" s="114"/>
      <c r="E6" s="98"/>
      <c r="F6" s="98"/>
      <c r="G6" s="314" t="s">
        <v>309</v>
      </c>
      <c r="H6" s="315"/>
      <c r="I6" s="315"/>
      <c r="J6" s="315"/>
      <c r="K6" s="315"/>
      <c r="L6" s="315" t="s">
        <v>310</v>
      </c>
      <c r="M6" s="315"/>
      <c r="N6" s="315"/>
      <c r="O6" s="315"/>
      <c r="P6" s="315"/>
      <c r="Q6" s="315" t="s">
        <v>311</v>
      </c>
      <c r="R6" s="315"/>
      <c r="S6" s="315"/>
      <c r="T6" s="315"/>
      <c r="U6" s="315"/>
      <c r="V6" s="315" t="s">
        <v>312</v>
      </c>
      <c r="W6" s="315"/>
      <c r="X6" s="315"/>
      <c r="Y6" s="315"/>
      <c r="Z6" s="315"/>
      <c r="AA6" s="315" t="s">
        <v>313</v>
      </c>
      <c r="AB6" s="315"/>
      <c r="AC6" s="315"/>
      <c r="AD6" s="315"/>
      <c r="AE6" s="315"/>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7"/>
      <c r="BI6" s="127"/>
      <c r="BJ6" s="127"/>
      <c r="BK6" s="127"/>
      <c r="BL6" s="127"/>
      <c r="BM6" s="127"/>
      <c r="BN6" s="127"/>
      <c r="BO6" s="127"/>
      <c r="BP6" s="127"/>
      <c r="BQ6" s="127"/>
      <c r="BR6" s="127"/>
      <c r="BS6" s="127"/>
      <c r="BT6" s="127"/>
      <c r="BU6" s="127"/>
      <c r="BV6" s="127"/>
      <c r="BW6" s="127"/>
      <c r="BX6" s="127"/>
      <c r="BY6" s="127"/>
      <c r="BZ6" s="127"/>
      <c r="CA6" s="127"/>
      <c r="CB6" s="127"/>
      <c r="CC6" s="127"/>
      <c r="CD6" s="127"/>
      <c r="CE6" s="127"/>
      <c r="CF6" s="127"/>
      <c r="CG6" s="127"/>
      <c r="CH6" s="127"/>
      <c r="CI6" s="127"/>
      <c r="CJ6" s="127"/>
      <c r="CK6" s="127"/>
      <c r="CL6" s="127"/>
      <c r="CM6" s="127"/>
      <c r="CN6" s="127"/>
      <c r="CO6" s="127"/>
      <c r="CP6" s="127"/>
      <c r="CQ6" s="127"/>
      <c r="CR6" s="127"/>
      <c r="CS6" s="127"/>
      <c r="CT6" s="127"/>
      <c r="CU6" s="127"/>
      <c r="CV6" s="127"/>
      <c r="CW6" s="127"/>
      <c r="CX6" s="127"/>
      <c r="CY6" s="127"/>
      <c r="CZ6" s="127"/>
      <c r="DA6" s="127"/>
      <c r="DB6" s="127"/>
      <c r="DC6" s="127"/>
      <c r="DD6" s="127"/>
      <c r="DE6" s="127"/>
      <c r="DF6" s="127"/>
      <c r="DG6" s="127"/>
      <c r="DH6" s="127"/>
      <c r="DI6" s="127"/>
      <c r="DJ6" s="127"/>
      <c r="DK6" s="127"/>
      <c r="DL6" s="127"/>
      <c r="DM6" s="127"/>
      <c r="DN6" s="127"/>
      <c r="DO6" s="127"/>
      <c r="DP6" s="127"/>
    </row>
    <row r="7" spans="1:120" ht="40.200000000000003" customHeight="1" thickBot="1">
      <c r="A7" s="100"/>
      <c r="B7" s="128" t="s">
        <v>314</v>
      </c>
      <c r="C7" s="129" t="s">
        <v>315</v>
      </c>
      <c r="D7" s="129" t="s">
        <v>316</v>
      </c>
      <c r="E7" s="129" t="s">
        <v>317</v>
      </c>
      <c r="F7" s="121"/>
      <c r="G7" s="123">
        <v>1</v>
      </c>
      <c r="H7" s="124">
        <v>2</v>
      </c>
      <c r="I7" s="124">
        <v>3</v>
      </c>
      <c r="J7" s="124">
        <v>4</v>
      </c>
      <c r="K7" s="124">
        <v>5</v>
      </c>
      <c r="L7" s="124">
        <v>8</v>
      </c>
      <c r="M7" s="124">
        <v>9</v>
      </c>
      <c r="N7" s="124">
        <v>10</v>
      </c>
      <c r="O7" s="124">
        <v>11</v>
      </c>
      <c r="P7" s="124">
        <v>12</v>
      </c>
      <c r="Q7" s="124">
        <v>15</v>
      </c>
      <c r="R7" s="124">
        <v>16</v>
      </c>
      <c r="S7" s="124">
        <v>17</v>
      </c>
      <c r="T7" s="124">
        <v>18</v>
      </c>
      <c r="U7" s="124">
        <v>19</v>
      </c>
      <c r="V7" s="124">
        <v>22</v>
      </c>
      <c r="W7" s="124">
        <v>23</v>
      </c>
      <c r="X7" s="124">
        <v>24</v>
      </c>
      <c r="Y7" s="124">
        <v>25</v>
      </c>
      <c r="Z7" s="124">
        <v>26</v>
      </c>
      <c r="AA7" s="124">
        <v>29</v>
      </c>
      <c r="AB7" s="125">
        <v>30</v>
      </c>
      <c r="AC7" s="122">
        <v>1</v>
      </c>
      <c r="AD7" s="112">
        <v>2</v>
      </c>
      <c r="AE7" s="112">
        <v>3</v>
      </c>
      <c r="AF7" s="112">
        <v>4</v>
      </c>
      <c r="AG7" s="112">
        <v>5</v>
      </c>
      <c r="AH7" s="112">
        <v>6</v>
      </c>
      <c r="AI7" s="112">
        <v>7</v>
      </c>
      <c r="AJ7" s="112">
        <v>8</v>
      </c>
      <c r="AK7" s="112">
        <v>9</v>
      </c>
      <c r="AL7" s="112">
        <v>10</v>
      </c>
      <c r="AM7" s="112">
        <v>11</v>
      </c>
      <c r="AN7" s="112">
        <v>12</v>
      </c>
      <c r="AO7" s="112">
        <v>13</v>
      </c>
      <c r="AP7" s="112">
        <v>14</v>
      </c>
      <c r="AQ7" s="112">
        <v>15</v>
      </c>
      <c r="AR7" s="112">
        <v>16</v>
      </c>
      <c r="AS7" s="112">
        <v>17</v>
      </c>
      <c r="AT7" s="112">
        <v>18</v>
      </c>
      <c r="AU7" s="112">
        <v>19</v>
      </c>
      <c r="AV7" s="112">
        <v>20</v>
      </c>
      <c r="AW7" s="112">
        <v>21</v>
      </c>
      <c r="AX7" s="112">
        <v>22</v>
      </c>
      <c r="AY7" s="112">
        <v>23</v>
      </c>
      <c r="AZ7" s="112">
        <v>24</v>
      </c>
      <c r="BA7" s="112">
        <v>25</v>
      </c>
      <c r="BB7" s="112">
        <v>26</v>
      </c>
      <c r="BC7" s="112">
        <v>27</v>
      </c>
      <c r="BD7" s="112">
        <v>28</v>
      </c>
      <c r="BE7" s="112">
        <v>29</v>
      </c>
      <c r="BF7" s="112">
        <v>30</v>
      </c>
      <c r="BG7" s="112">
        <v>31</v>
      </c>
      <c r="BH7" s="112">
        <v>1</v>
      </c>
      <c r="BI7" s="112">
        <v>2</v>
      </c>
      <c r="BJ7" s="112">
        <v>3</v>
      </c>
      <c r="BK7" s="112">
        <v>4</v>
      </c>
      <c r="BL7" s="112">
        <v>5</v>
      </c>
      <c r="BM7" s="112">
        <v>6</v>
      </c>
      <c r="BN7" s="112">
        <v>7</v>
      </c>
      <c r="BO7" s="112">
        <v>8</v>
      </c>
      <c r="BP7" s="112">
        <v>9</v>
      </c>
      <c r="BQ7" s="112">
        <v>10</v>
      </c>
      <c r="BR7" s="112">
        <v>11</v>
      </c>
      <c r="BS7" s="112">
        <v>12</v>
      </c>
      <c r="BT7" s="112">
        <v>13</v>
      </c>
      <c r="BU7" s="112">
        <v>14</v>
      </c>
      <c r="BV7" s="112">
        <v>15</v>
      </c>
      <c r="BW7" s="112">
        <v>16</v>
      </c>
      <c r="BX7" s="112">
        <v>17</v>
      </c>
      <c r="BY7" s="112">
        <v>18</v>
      </c>
      <c r="BZ7" s="112">
        <v>19</v>
      </c>
      <c r="CA7" s="112">
        <v>20</v>
      </c>
      <c r="CB7" s="112">
        <v>21</v>
      </c>
      <c r="CC7" s="112">
        <v>22</v>
      </c>
      <c r="CD7" s="112">
        <v>23</v>
      </c>
      <c r="CE7" s="112">
        <v>24</v>
      </c>
      <c r="CF7" s="112">
        <v>25</v>
      </c>
      <c r="CG7" s="112">
        <v>26</v>
      </c>
      <c r="CH7" s="112">
        <v>27</v>
      </c>
      <c r="CI7" s="112">
        <v>28</v>
      </c>
      <c r="CJ7" s="112">
        <v>29</v>
      </c>
      <c r="CK7" s="112">
        <v>30</v>
      </c>
      <c r="CL7" s="112">
        <v>1</v>
      </c>
      <c r="CM7" s="112">
        <v>2</v>
      </c>
      <c r="CN7" s="112">
        <v>3</v>
      </c>
      <c r="CO7" s="112">
        <v>4</v>
      </c>
      <c r="CP7" s="112">
        <v>5</v>
      </c>
      <c r="CQ7" s="112">
        <v>6</v>
      </c>
      <c r="CR7" s="112">
        <v>7</v>
      </c>
      <c r="CS7" s="112">
        <v>8</v>
      </c>
      <c r="CT7" s="112">
        <v>9</v>
      </c>
      <c r="CU7" s="112">
        <v>10</v>
      </c>
      <c r="CV7" s="112">
        <v>11</v>
      </c>
      <c r="CW7" s="112">
        <v>12</v>
      </c>
      <c r="CX7" s="112">
        <v>13</v>
      </c>
      <c r="CY7" s="112">
        <v>14</v>
      </c>
      <c r="CZ7" s="112">
        <v>15</v>
      </c>
      <c r="DA7" s="112">
        <v>16</v>
      </c>
      <c r="DB7" s="112">
        <v>17</v>
      </c>
      <c r="DC7" s="112">
        <v>18</v>
      </c>
      <c r="DD7" s="112">
        <v>19</v>
      </c>
      <c r="DE7" s="112">
        <v>20</v>
      </c>
      <c r="DF7" s="112">
        <v>21</v>
      </c>
      <c r="DG7" s="112">
        <v>22</v>
      </c>
      <c r="DH7" s="112">
        <v>23</v>
      </c>
      <c r="DI7" s="112">
        <v>24</v>
      </c>
      <c r="DJ7" s="112">
        <v>25</v>
      </c>
      <c r="DK7" s="112">
        <v>26</v>
      </c>
      <c r="DL7" s="112">
        <v>27</v>
      </c>
      <c r="DM7" s="112">
        <v>28</v>
      </c>
      <c r="DN7" s="112">
        <v>29</v>
      </c>
      <c r="DO7" s="112">
        <v>30</v>
      </c>
      <c r="DP7" s="112">
        <v>31</v>
      </c>
    </row>
    <row r="8" spans="1:120" ht="30" hidden="1" customHeight="1">
      <c r="B8" s="111"/>
      <c r="C8" s="110"/>
      <c r="D8" s="109"/>
      <c r="E8" s="108"/>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c r="CY8" s="107"/>
      <c r="CZ8" s="107"/>
      <c r="DA8" s="107"/>
      <c r="DB8" s="107"/>
      <c r="DC8" s="107"/>
      <c r="DD8" s="107"/>
      <c r="DE8" s="107"/>
      <c r="DF8" s="107"/>
      <c r="DG8" s="107"/>
      <c r="DH8" s="107"/>
      <c r="DI8" s="107"/>
      <c r="DJ8" s="107"/>
      <c r="DK8" s="107"/>
      <c r="DL8" s="107"/>
      <c r="DM8" s="107"/>
      <c r="DN8" s="107"/>
      <c r="DO8" s="107"/>
      <c r="DP8" s="107"/>
    </row>
    <row r="9" spans="1:120" s="93" customFormat="1" ht="40.200000000000003" customHeight="1">
      <c r="A9" s="100"/>
      <c r="B9" s="106" t="s">
        <v>318</v>
      </c>
      <c r="C9" s="104">
        <v>0.75</v>
      </c>
      <c r="D9" s="103">
        <v>45931</v>
      </c>
      <c r="E9" s="102">
        <v>3</v>
      </c>
      <c r="F9" s="95"/>
      <c r="G9" s="101"/>
      <c r="H9" s="101"/>
      <c r="I9" s="101"/>
      <c r="J9" s="101"/>
      <c r="K9" s="101"/>
      <c r="L9" s="101"/>
      <c r="M9" s="101"/>
      <c r="N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c r="DK9" s="101"/>
      <c r="DL9" s="101"/>
      <c r="DM9" s="101"/>
      <c r="DN9" s="101"/>
      <c r="DO9" s="101"/>
      <c r="DP9" s="101"/>
    </row>
    <row r="10" spans="1:120" s="93" customFormat="1" ht="40.200000000000003" customHeight="1">
      <c r="A10" s="100"/>
      <c r="B10" s="106" t="s">
        <v>319</v>
      </c>
      <c r="C10" s="104"/>
      <c r="D10" s="103">
        <f ca="1">TODAY()+5</f>
        <v>46125</v>
      </c>
      <c r="E10" s="102">
        <v>1</v>
      </c>
      <c r="F10" s="95"/>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c r="DK10" s="101"/>
      <c r="DL10" s="101"/>
      <c r="DM10" s="101"/>
      <c r="DN10" s="101"/>
      <c r="DO10" s="101"/>
      <c r="DP10" s="101"/>
    </row>
    <row r="11" spans="1:120" s="93" customFormat="1" ht="40.200000000000003" customHeight="1">
      <c r="A11" s="90"/>
      <c r="B11" s="106" t="s">
        <v>320</v>
      </c>
      <c r="C11" s="104">
        <v>0.5</v>
      </c>
      <c r="D11" s="103">
        <f>D9-3</f>
        <v>45928</v>
      </c>
      <c r="E11" s="102">
        <v>10</v>
      </c>
      <c r="F11" s="95"/>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c r="DK11" s="101"/>
      <c r="DL11" s="101"/>
      <c r="DM11" s="101"/>
      <c r="DN11" s="101"/>
      <c r="DO11" s="101"/>
      <c r="DP11" s="101"/>
    </row>
    <row r="12" spans="1:120" s="93" customFormat="1" ht="40.200000000000003" customHeight="1">
      <c r="A12" s="90"/>
      <c r="B12" s="106" t="s">
        <v>321</v>
      </c>
      <c r="C12" s="104"/>
      <c r="D12" s="103">
        <f>D9+20</f>
        <v>45951</v>
      </c>
      <c r="E12" s="102">
        <v>1</v>
      </c>
      <c r="F12" s="95"/>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c r="DK12" s="101"/>
      <c r="DL12" s="101"/>
      <c r="DM12" s="101"/>
      <c r="DN12" s="101"/>
      <c r="DO12" s="101"/>
      <c r="DP12" s="101"/>
    </row>
    <row r="13" spans="1:120" s="93" customFormat="1" ht="40.200000000000003" customHeight="1">
      <c r="A13" s="90"/>
      <c r="B13" s="106" t="s">
        <v>322</v>
      </c>
      <c r="C13" s="104">
        <v>0.1</v>
      </c>
      <c r="D13" s="103">
        <f>D9+6</f>
        <v>45937</v>
      </c>
      <c r="E13" s="102">
        <v>6</v>
      </c>
      <c r="F13" s="95"/>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c r="DK13" s="101"/>
      <c r="DL13" s="101"/>
      <c r="DM13" s="101"/>
      <c r="DN13" s="101"/>
      <c r="DO13" s="101"/>
      <c r="DP13" s="101"/>
    </row>
    <row r="14" spans="1:120" s="93" customFormat="1" ht="40.200000000000003" customHeight="1">
      <c r="A14" s="100"/>
      <c r="B14" s="106" t="s">
        <v>323</v>
      </c>
      <c r="C14" s="104">
        <v>0.6</v>
      </c>
      <c r="D14" s="103">
        <f>D9+6</f>
        <v>45937</v>
      </c>
      <c r="E14" s="102">
        <v>13</v>
      </c>
      <c r="F14" s="95"/>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c r="DK14" s="101"/>
      <c r="DL14" s="101"/>
      <c r="DM14" s="101"/>
      <c r="DN14" s="101"/>
      <c r="DO14" s="101"/>
      <c r="DP14" s="101"/>
    </row>
    <row r="15" spans="1:120" s="93" customFormat="1" ht="40.200000000000003" customHeight="1">
      <c r="A15" s="90"/>
      <c r="B15" s="106" t="s">
        <v>324</v>
      </c>
      <c r="C15" s="104">
        <v>0.5</v>
      </c>
      <c r="D15" s="103">
        <f>D14+2</f>
        <v>45939</v>
      </c>
      <c r="E15" s="102">
        <v>9</v>
      </c>
      <c r="F15" s="95"/>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c r="DK15" s="101"/>
      <c r="DL15" s="101"/>
      <c r="DM15" s="101"/>
      <c r="DN15" s="101"/>
      <c r="DO15" s="101"/>
      <c r="DP15" s="101"/>
    </row>
    <row r="16" spans="1:120" s="93" customFormat="1" ht="40.200000000000003" customHeight="1">
      <c r="A16" s="90"/>
      <c r="B16" s="106" t="s">
        <v>325</v>
      </c>
      <c r="C16" s="104">
        <v>0.33</v>
      </c>
      <c r="D16" s="103">
        <f>D15+5</f>
        <v>45944</v>
      </c>
      <c r="E16" s="102">
        <v>11</v>
      </c>
      <c r="F16" s="95"/>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c r="DK16" s="101"/>
      <c r="DL16" s="101"/>
      <c r="DM16" s="101"/>
      <c r="DN16" s="101"/>
      <c r="DO16" s="101"/>
      <c r="DP16" s="101"/>
    </row>
    <row r="17" spans="1:120" s="93" customFormat="1" ht="40.200000000000003" customHeight="1">
      <c r="A17" s="90"/>
      <c r="B17" s="106" t="s">
        <v>326</v>
      </c>
      <c r="C17" s="104"/>
      <c r="D17" s="103">
        <f>D16+2</f>
        <v>45946</v>
      </c>
      <c r="E17" s="102">
        <v>1</v>
      </c>
      <c r="F17" s="95"/>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row>
    <row r="18" spans="1:120" s="93" customFormat="1" ht="40.200000000000003" customHeight="1">
      <c r="A18" s="90"/>
      <c r="B18" s="106" t="s">
        <v>327</v>
      </c>
      <c r="C18" s="104"/>
      <c r="D18" s="103">
        <f>D17+1</f>
        <v>45947</v>
      </c>
      <c r="E18" s="102">
        <v>24</v>
      </c>
      <c r="F18" s="95"/>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c r="DK18" s="101"/>
      <c r="DL18" s="101"/>
      <c r="DM18" s="101"/>
      <c r="DN18" s="101"/>
      <c r="DO18" s="101"/>
      <c r="DP18" s="101"/>
    </row>
    <row r="19" spans="1:120" s="93" customFormat="1" ht="40.200000000000003" customHeight="1">
      <c r="A19" s="90"/>
      <c r="B19" s="106" t="s">
        <v>328</v>
      </c>
      <c r="C19" s="104"/>
      <c r="D19" s="103">
        <f>D9+15</f>
        <v>45946</v>
      </c>
      <c r="E19" s="102">
        <v>4</v>
      </c>
      <c r="F19" s="95"/>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row>
    <row r="20" spans="1:120" s="93" customFormat="1" ht="40.200000000000003" customHeight="1">
      <c r="A20" s="90"/>
      <c r="B20" s="106" t="s">
        <v>329</v>
      </c>
      <c r="C20" s="104"/>
      <c r="D20" s="103">
        <f>D19+3</f>
        <v>45949</v>
      </c>
      <c r="E20" s="102">
        <v>14</v>
      </c>
      <c r="F20" s="95"/>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c r="DK20" s="101"/>
      <c r="DL20" s="101"/>
      <c r="DM20" s="101"/>
      <c r="DN20" s="101"/>
      <c r="DO20" s="101"/>
      <c r="DP20" s="101"/>
    </row>
    <row r="21" spans="1:120" s="93" customFormat="1" ht="40.200000000000003" customHeight="1">
      <c r="A21" s="90"/>
      <c r="B21" s="106" t="s">
        <v>102</v>
      </c>
      <c r="C21" s="104"/>
      <c r="D21" s="103">
        <f>D20+15</f>
        <v>45964</v>
      </c>
      <c r="E21" s="102">
        <v>6</v>
      </c>
      <c r="F21" s="95"/>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c r="DK21" s="101"/>
      <c r="DL21" s="101"/>
      <c r="DM21" s="101"/>
      <c r="DN21" s="101"/>
      <c r="DO21" s="101"/>
      <c r="DP21" s="101"/>
    </row>
    <row r="22" spans="1:120" s="93" customFormat="1" ht="40.200000000000003" customHeight="1">
      <c r="A22" s="90"/>
      <c r="B22" s="106" t="s">
        <v>330</v>
      </c>
      <c r="C22" s="104"/>
      <c r="D22" s="103">
        <f>D17+22</f>
        <v>45968</v>
      </c>
      <c r="E22" s="102">
        <v>3</v>
      </c>
      <c r="F22" s="95"/>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c r="DK22" s="101"/>
      <c r="DL22" s="101"/>
      <c r="DM22" s="101"/>
      <c r="DN22" s="101"/>
      <c r="DO22" s="101"/>
      <c r="DP22" s="101"/>
    </row>
    <row r="23" spans="1:120" s="93" customFormat="1" ht="40.200000000000003" customHeight="1">
      <c r="A23" s="90"/>
      <c r="B23" s="106" t="s">
        <v>331</v>
      </c>
      <c r="C23" s="104"/>
      <c r="D23" s="103">
        <f>D13</f>
        <v>45937</v>
      </c>
      <c r="E23" s="102">
        <v>19</v>
      </c>
      <c r="F23" s="95"/>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1"/>
      <c r="DO23" s="101"/>
      <c r="DP23" s="101"/>
    </row>
    <row r="24" spans="1:120" s="93" customFormat="1" ht="40.200000000000003" customHeight="1">
      <c r="A24" s="90"/>
      <c r="B24" s="106" t="s">
        <v>332</v>
      </c>
      <c r="C24" s="104"/>
      <c r="D24" s="103">
        <f>D22+3</f>
        <v>45971</v>
      </c>
      <c r="E24" s="102">
        <v>15</v>
      </c>
      <c r="F24" s="95"/>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row>
    <row r="25" spans="1:120" s="93" customFormat="1" ht="40.200000000000003" customHeight="1">
      <c r="A25" s="90"/>
      <c r="B25" s="106" t="s">
        <v>333</v>
      </c>
      <c r="C25" s="104"/>
      <c r="D25" s="103">
        <f>D24+14</f>
        <v>45985</v>
      </c>
      <c r="E25" s="102">
        <v>5</v>
      </c>
      <c r="F25" s="95"/>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101"/>
      <c r="DN25" s="101"/>
      <c r="DO25" s="101"/>
      <c r="DP25" s="101"/>
    </row>
    <row r="26" spans="1:120" s="93" customFormat="1" ht="40.200000000000003" customHeight="1">
      <c r="A26" s="90"/>
      <c r="B26" s="106"/>
      <c r="C26" s="104"/>
      <c r="D26" s="103">
        <f>D25+42</f>
        <v>46027</v>
      </c>
      <c r="E26" s="102">
        <v>1</v>
      </c>
      <c r="F26" s="95"/>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c r="DK26" s="101"/>
      <c r="DL26" s="101"/>
      <c r="DM26" s="101"/>
      <c r="DN26" s="101"/>
      <c r="DO26" s="101"/>
      <c r="DP26" s="101"/>
    </row>
    <row r="27" spans="1:120" s="93" customFormat="1" ht="40.200000000000003" customHeight="1">
      <c r="A27" s="90"/>
      <c r="B27" s="106"/>
      <c r="C27" s="104"/>
      <c r="D27" s="103"/>
      <c r="E27" s="102"/>
      <c r="F27" s="95"/>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c r="DK27" s="101"/>
      <c r="DL27" s="101"/>
      <c r="DM27" s="101"/>
      <c r="DN27" s="101"/>
      <c r="DO27" s="101"/>
      <c r="DP27" s="101"/>
    </row>
    <row r="28" spans="1:120" s="93" customFormat="1" ht="40.200000000000003" customHeight="1">
      <c r="A28" s="90"/>
      <c r="B28" s="105"/>
      <c r="C28" s="104"/>
      <c r="D28" s="103"/>
      <c r="E28" s="102"/>
      <c r="F28" s="95"/>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c r="DK28" s="101"/>
      <c r="DL28" s="101"/>
      <c r="DM28" s="101"/>
      <c r="DN28" s="101"/>
      <c r="DO28" s="101"/>
      <c r="DP28" s="101"/>
    </row>
    <row r="29" spans="1:120" s="93" customFormat="1" ht="40.200000000000003" customHeight="1">
      <c r="A29" s="90"/>
      <c r="B29" s="105"/>
      <c r="C29" s="104"/>
      <c r="D29" s="103"/>
      <c r="E29" s="102"/>
      <c r="F29" s="95"/>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c r="DK29" s="101"/>
      <c r="DL29" s="101"/>
      <c r="DM29" s="101"/>
      <c r="DN29" s="101"/>
      <c r="DO29" s="101"/>
      <c r="DP29" s="101"/>
    </row>
    <row r="30" spans="1:120" s="93" customFormat="1" ht="40.200000000000003" customHeight="1">
      <c r="A30" s="100"/>
      <c r="B30" s="99"/>
      <c r="C30" s="98"/>
      <c r="D30" s="97"/>
      <c r="E30" s="96"/>
      <c r="F30" s="95"/>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row>
    <row r="31" spans="1:120" ht="30" customHeight="1">
      <c r="E31" s="92"/>
      <c r="F31" s="91"/>
    </row>
  </sheetData>
  <mergeCells count="12">
    <mergeCell ref="G5:AB5"/>
    <mergeCell ref="AC5:BG5"/>
    <mergeCell ref="BH5:CK5"/>
    <mergeCell ref="CL5:DP5"/>
    <mergeCell ref="B2:F2"/>
    <mergeCell ref="G2:K2"/>
    <mergeCell ref="L2:P2"/>
    <mergeCell ref="G6:K6"/>
    <mergeCell ref="L6:P6"/>
    <mergeCell ref="Q6:U6"/>
    <mergeCell ref="V6:Z6"/>
    <mergeCell ref="AA6:AE6"/>
  </mergeCells>
  <conditionalFormatting sqref="C7:C30">
    <cfRule type="dataBar" priority="5">
      <dataBar>
        <cfvo type="num" val="0"/>
        <cfvo type="num" val="1"/>
        <color theme="6"/>
      </dataBar>
      <extLst>
        <ext xmlns:x14="http://schemas.microsoft.com/office/spreadsheetml/2009/9/main" uri="{B025F937-C7B1-47D3-B67F-A62EFF666E3E}">
          <x14:id>{AC54EF60-2CBE-447F-8943-B68C55E1E396}</x14:id>
        </ext>
      </extLst>
    </cfRule>
  </conditionalFormatting>
  <conditionalFormatting sqref="G7:BB8 BC7:DP29 G9:N9 P9:BB9 G10:BB30">
    <cfRule type="expression" dxfId="35" priority="38">
      <formula>AND(TODAY()&gt;=#REF!,TODAY()&lt;#REF!)</formula>
    </cfRule>
  </conditionalFormatting>
  <conditionalFormatting sqref="G30:BB30">
    <cfRule type="expression" dxfId="34" priority="116" stopIfTrue="1">
      <formula>AND(#REF!="Low Risk",#REF!&gt;=#REF!,#REF!&lt;=#REF!+#REF!-1)</formula>
    </cfRule>
    <cfRule type="expression" dxfId="33" priority="117" stopIfTrue="1">
      <formula>AND(#REF!="High Risk",#REF!&gt;=#REF!,#REF!&lt;=#REF!+#REF!-1)</formula>
    </cfRule>
    <cfRule type="expression" dxfId="32" priority="118" stopIfTrue="1">
      <formula>AND(#REF!="On Track",#REF!&gt;=#REF!,#REF!&lt;=#REF!+#REF!-1)</formula>
    </cfRule>
    <cfRule type="expression" dxfId="31" priority="119" stopIfTrue="1">
      <formula>AND(#REF!="Med Risk",#REF!&gt;=#REF!,#REF!&lt;=#REF!+#REF!-1)</formula>
    </cfRule>
    <cfRule type="expression" dxfId="30" priority="120" stopIfTrue="1">
      <formula>AND(LEN(#REF!)=0,#REF!&gt;=#REF!,#REF!&lt;=#REF!+#REF!-1)</formula>
    </cfRule>
  </conditionalFormatting>
  <conditionalFormatting sqref="G8:DP8 G9:N9 P9:DP9 G10:DP29">
    <cfRule type="expression" dxfId="29" priority="128" stopIfTrue="1">
      <formula>AND(#REF!="Low Risk",#REF!&gt;=$D8,#REF!&lt;=$D8+$E8-1)</formula>
    </cfRule>
    <cfRule type="expression" dxfId="28" priority="129" stopIfTrue="1">
      <formula>AND(#REF!="High Risk",#REF!&gt;=$D8,#REF!&lt;=$D8+$E8-1)</formula>
    </cfRule>
    <cfRule type="expression" dxfId="27" priority="130" stopIfTrue="1">
      <formula>AND(#REF!="On Track",#REF!&gt;=$D8,#REF!&lt;=$D8+$E8-1)</formula>
    </cfRule>
    <cfRule type="expression" dxfId="26" priority="131" stopIfTrue="1">
      <formula>AND(#REF!="Med Risk",#REF!&gt;=$D8,#REF!&lt;=$D8+$E8-1)</formula>
    </cfRule>
    <cfRule type="expression" dxfId="25" priority="132" stopIfTrue="1">
      <formula>AND(LEN(#REF!)=0,#REF!&gt;=$D8,#REF!&lt;=$D8+$E8-1)</formula>
    </cfRule>
  </conditionalFormatting>
  <conditionalFormatting sqref="AC5 G5:G6 BH5:BH6 CL5:CL6">
    <cfRule type="expression" dxfId="24" priority="35">
      <formula>AND(#REF!&lt;=EOMONTH(#REF!,1),#REF!&gt;EOMONTH(#REF!,0))</formula>
    </cfRule>
  </conditionalFormatting>
  <conditionalFormatting sqref="AC5 G5:G6">
    <cfRule type="expression" dxfId="23" priority="32">
      <formula>#REF!&lt;=EOMONTH(#REF!,0)</formula>
    </cfRule>
  </conditionalFormatting>
  <conditionalFormatting sqref="AC5 BH5:BH6 CL5:CL6">
    <cfRule type="expression" dxfId="22" priority="39">
      <formula>AND(#REF!&lt;=EOMONTH(#REF!,2),#REF!&gt;EOMONTH(#REF!,0),#REF!&gt;EOMONTH(#REF!,1))</formula>
    </cfRule>
  </conditionalFormatting>
  <dataValidations count="6">
    <dataValidation allowBlank="1" showInputMessage="1" showErrorMessage="1" prompt="This is an empty row" sqref="A29" xr:uid="{60F6BB2A-523D-41BA-B324-85E19FB9FF7E}"/>
    <dataValidation allowBlank="1" showInputMessage="1" showErrorMessage="1" prompt="This row marks the end of the Gantt milestone data. DO NOT enter anything in this row. _x000a_To add more items, insert new rows above this one._x000a_" sqref="A30" xr:uid="{659FD5CB-B62B-4854-B8A9-29F1F70930AC}"/>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7" xr:uid="{6AB925DC-9BC9-4EC3-A848-25121289EEC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A6" xr:uid="{D018285A-B1BB-4604-A67E-E25F048BC864}"/>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4" xr:uid="{9BBE640D-6E85-4D9D-AF8E-654ECD5CE97D}"/>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C54EF60-2CBE-447F-8943-B68C55E1E396}">
            <x14:dataBar minLength="0" maxLength="100" gradient="0">
              <x14:cfvo type="num">
                <xm:f>0</xm:f>
              </x14:cfvo>
              <x14:cfvo type="num">
                <xm:f>1</xm:f>
              </x14:cfvo>
              <x14:negativeFillColor rgb="FFFF0000"/>
              <x14:axisColor rgb="FF000000"/>
            </x14:dataBar>
          </x14:cfRule>
          <xm:sqref>C7:C30</xm:sqref>
        </x14:conditionalFormatting>
        <x14:conditionalFormatting xmlns:xm="http://schemas.microsoft.com/office/excel/2006/main">
          <x14:cfRule type="iconSet" priority="115" id="{A4FC57F0-1CDE-4C3B-B009-391639B1B804}">
            <x14:iconSet iconSet="3Stars" showValue="0" custom="1">
              <x14:cfvo type="percent">
                <xm:f>0</xm:f>
              </x14:cfvo>
              <x14:cfvo type="num">
                <xm:f>1</xm:f>
              </x14:cfvo>
              <x14:cfvo type="num">
                <xm:f>2</xm:f>
              </x14:cfvo>
              <x14:cfIcon iconSet="NoIcons" iconId="0"/>
              <x14:cfIcon iconSet="3Flags" iconId="1"/>
              <x14:cfIcon iconSet="3Signs" iconId="0"/>
            </x14:iconSet>
          </x14:cfRule>
          <xm:sqref>G30:BB30</xm:sqref>
        </x14:conditionalFormatting>
        <x14:conditionalFormatting xmlns:xm="http://schemas.microsoft.com/office/excel/2006/main">
          <x14:cfRule type="iconSet" priority="127" id="{D829554D-EB9A-42A1-B93D-81A917022428}">
            <x14:iconSet iconSet="3Stars" showValue="0" custom="1">
              <x14:cfvo type="percent">
                <xm:f>0</xm:f>
              </x14:cfvo>
              <x14:cfvo type="num">
                <xm:f>1</xm:f>
              </x14:cfvo>
              <x14:cfvo type="num">
                <xm:f>2</xm:f>
              </x14:cfvo>
              <x14:cfIcon iconSet="NoIcons" iconId="0"/>
              <x14:cfIcon iconSet="3Flags" iconId="1"/>
              <x14:cfIcon iconSet="3Signs" iconId="0"/>
            </x14:iconSet>
          </x14:cfRule>
          <xm:sqref>G8:DP8 G10:DP29 G9:N9 P9:DP9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706D-8A92-45EC-8CD0-CA5E5AF4FBAB}">
  <dimension ref="A1:AK29"/>
  <sheetViews>
    <sheetView zoomScale="145" zoomScaleNormal="145" workbookViewId="0">
      <pane xSplit="1" topLeftCell="B1" activePane="topRight" state="frozen"/>
      <selection pane="topRight" activeCell="J17" sqref="J17:L17"/>
    </sheetView>
  </sheetViews>
  <sheetFormatPr defaultColWidth="8.59765625" defaultRowHeight="13.2"/>
  <cols>
    <col min="1" max="1" width="49.19921875" style="36" customWidth="1"/>
    <col min="2" max="2" width="5.09765625" style="36" bestFit="1" customWidth="1"/>
    <col min="3" max="3" width="9.69921875" style="36" customWidth="1"/>
    <col min="4" max="4" width="8.59765625" style="36"/>
    <col min="5" max="5" width="15.59765625" style="36" bestFit="1" customWidth="1"/>
    <col min="6" max="6" width="8.59765625" style="36"/>
    <col min="7" max="7" width="11" style="36" customWidth="1"/>
    <col min="8" max="8" width="13.19921875" style="36" bestFit="1" customWidth="1"/>
    <col min="9" max="9" width="9.69921875" style="36" bestFit="1" customWidth="1"/>
    <col min="10" max="11" width="14.69921875" style="36" bestFit="1" customWidth="1"/>
    <col min="12" max="12" width="8.59765625" style="36"/>
    <col min="13" max="13" width="10.19921875" style="36" customWidth="1"/>
    <col min="14" max="21" width="8.59765625" style="36"/>
    <col min="22" max="22" width="15" style="36" bestFit="1" customWidth="1"/>
    <col min="23" max="23" width="15.19921875" style="36" customWidth="1"/>
    <col min="24" max="24" width="18.19921875" style="36" customWidth="1"/>
    <col min="25" max="25" width="19.19921875" style="36" bestFit="1" customWidth="1"/>
    <col min="26" max="26" width="8.59765625" style="36"/>
    <col min="27" max="27" width="17" style="36" bestFit="1" customWidth="1"/>
    <col min="28" max="28" width="19.19921875" style="36" bestFit="1" customWidth="1"/>
    <col min="29" max="29" width="18.19921875" style="36" bestFit="1" customWidth="1"/>
    <col min="30" max="16384" width="8.59765625" style="36"/>
  </cols>
  <sheetData>
    <row r="1" spans="1:37">
      <c r="A1" s="35"/>
      <c r="B1" s="335" t="s">
        <v>334</v>
      </c>
      <c r="C1" s="336"/>
      <c r="D1" s="337" t="s">
        <v>335</v>
      </c>
      <c r="E1" s="337"/>
      <c r="F1" s="337"/>
      <c r="G1" s="337"/>
      <c r="H1" s="332" t="s">
        <v>336</v>
      </c>
      <c r="I1" s="332"/>
      <c r="J1" s="332"/>
      <c r="K1" s="337" t="s">
        <v>337</v>
      </c>
      <c r="L1" s="337"/>
      <c r="M1" s="337"/>
      <c r="N1" s="337"/>
      <c r="O1" s="337"/>
      <c r="P1" s="337"/>
      <c r="Q1" s="332" t="s">
        <v>338</v>
      </c>
      <c r="R1" s="332"/>
      <c r="S1" s="332"/>
      <c r="T1" s="332"/>
      <c r="U1" s="337" t="s">
        <v>339</v>
      </c>
      <c r="V1" s="337"/>
      <c r="W1" s="337"/>
      <c r="X1" s="337"/>
      <c r="Y1" s="337"/>
      <c r="Z1" s="332" t="s">
        <v>340</v>
      </c>
      <c r="AA1" s="332"/>
      <c r="AB1" s="332"/>
      <c r="AC1" s="332"/>
    </row>
    <row r="2" spans="1:37" ht="21" customHeight="1">
      <c r="A2" s="35"/>
      <c r="B2" s="37" t="s">
        <v>341</v>
      </c>
      <c r="C2" s="37" t="s">
        <v>342</v>
      </c>
      <c r="D2" s="38" t="s">
        <v>343</v>
      </c>
      <c r="E2" s="38" t="s">
        <v>344</v>
      </c>
      <c r="F2" s="38" t="s">
        <v>345</v>
      </c>
      <c r="G2" s="38" t="s">
        <v>346</v>
      </c>
      <c r="H2" s="39" t="s">
        <v>347</v>
      </c>
      <c r="I2" s="39" t="s">
        <v>348</v>
      </c>
      <c r="J2" s="39" t="s">
        <v>349</v>
      </c>
      <c r="K2" s="38" t="s">
        <v>350</v>
      </c>
      <c r="L2" s="38" t="s">
        <v>351</v>
      </c>
      <c r="M2" s="38" t="s">
        <v>352</v>
      </c>
      <c r="N2" s="38" t="s">
        <v>353</v>
      </c>
      <c r="O2" s="38" t="s">
        <v>341</v>
      </c>
      <c r="P2" s="38" t="s">
        <v>354</v>
      </c>
      <c r="Q2" s="39" t="s">
        <v>355</v>
      </c>
      <c r="R2" s="39" t="s">
        <v>356</v>
      </c>
      <c r="S2" s="39" t="s">
        <v>357</v>
      </c>
      <c r="T2" s="39" t="s">
        <v>358</v>
      </c>
      <c r="U2" s="38" t="s">
        <v>359</v>
      </c>
      <c r="V2" s="38" t="s">
        <v>360</v>
      </c>
      <c r="W2" s="40" t="s">
        <v>361</v>
      </c>
      <c r="X2" s="38" t="s">
        <v>362</v>
      </c>
      <c r="Y2" s="38" t="s">
        <v>363</v>
      </c>
      <c r="Z2" s="39" t="s">
        <v>364</v>
      </c>
      <c r="AA2" s="41" t="s">
        <v>365</v>
      </c>
      <c r="AB2" s="39" t="s">
        <v>366</v>
      </c>
      <c r="AC2" s="39" t="s">
        <v>367</v>
      </c>
      <c r="AD2" s="42"/>
    </row>
    <row r="3" spans="1:37">
      <c r="A3" s="43" t="s">
        <v>368</v>
      </c>
      <c r="B3" s="327" t="s">
        <v>369</v>
      </c>
      <c r="C3" s="329"/>
      <c r="D3" s="44"/>
      <c r="E3" s="45" t="s">
        <v>370</v>
      </c>
      <c r="F3" s="333" t="s">
        <v>371</v>
      </c>
      <c r="G3" s="334"/>
      <c r="H3" s="44"/>
      <c r="I3" s="44"/>
      <c r="J3" s="44"/>
      <c r="K3" s="44"/>
      <c r="L3" s="44"/>
      <c r="M3" s="44"/>
      <c r="N3" s="44"/>
      <c r="O3" s="44"/>
      <c r="P3" s="44"/>
      <c r="Q3" s="44"/>
      <c r="R3" s="44"/>
      <c r="S3" s="44"/>
      <c r="T3" s="44"/>
      <c r="U3" s="44"/>
      <c r="V3" s="44"/>
      <c r="W3" s="44"/>
      <c r="X3" s="44"/>
      <c r="Y3" s="44"/>
      <c r="Z3" s="44"/>
      <c r="AA3" s="44"/>
      <c r="AB3" s="44"/>
      <c r="AC3" s="44"/>
      <c r="AD3" s="42"/>
    </row>
    <row r="4" spans="1:37">
      <c r="A4" s="46" t="s">
        <v>372</v>
      </c>
      <c r="B4" s="47"/>
      <c r="C4" s="47"/>
      <c r="D4" s="47"/>
      <c r="E4" s="47"/>
      <c r="F4" s="327" t="s">
        <v>373</v>
      </c>
      <c r="G4" s="328"/>
      <c r="H4" s="328"/>
      <c r="I4" s="328"/>
      <c r="J4" s="328"/>
      <c r="K4" s="328"/>
      <c r="L4" s="328"/>
      <c r="M4" s="328"/>
      <c r="N4" s="328"/>
      <c r="O4" s="328"/>
      <c r="P4" s="329"/>
      <c r="Q4" s="325" t="s">
        <v>374</v>
      </c>
      <c r="R4" s="325"/>
      <c r="S4" s="327" t="s">
        <v>375</v>
      </c>
      <c r="T4" s="328"/>
      <c r="U4" s="329"/>
      <c r="V4" s="48" t="s">
        <v>376</v>
      </c>
      <c r="W4" s="49"/>
      <c r="X4" s="49"/>
      <c r="Y4" s="49"/>
      <c r="Z4" s="49"/>
      <c r="AA4" s="49"/>
      <c r="AB4" s="49"/>
      <c r="AC4" s="49"/>
    </row>
    <row r="5" spans="1:37">
      <c r="A5" s="46" t="s">
        <v>377</v>
      </c>
      <c r="B5" s="47"/>
      <c r="C5" s="47"/>
      <c r="D5" s="47"/>
      <c r="E5" s="47"/>
      <c r="F5" s="47"/>
      <c r="G5" s="47"/>
      <c r="H5" s="327" t="s">
        <v>373</v>
      </c>
      <c r="I5" s="328"/>
      <c r="J5" s="328"/>
      <c r="K5" s="328"/>
      <c r="L5" s="328"/>
      <c r="M5" s="328"/>
      <c r="N5" s="328"/>
      <c r="O5" s="328"/>
      <c r="P5" s="329"/>
      <c r="Q5" s="325" t="s">
        <v>374</v>
      </c>
      <c r="R5" s="325"/>
      <c r="S5" s="325" t="s">
        <v>378</v>
      </c>
      <c r="T5" s="325"/>
      <c r="U5" s="325" t="s">
        <v>375</v>
      </c>
      <c r="V5" s="325"/>
      <c r="W5" s="325"/>
      <c r="X5" s="325"/>
      <c r="Y5" s="325"/>
      <c r="Z5" s="325"/>
      <c r="AA5" s="325" t="s">
        <v>376</v>
      </c>
      <c r="AB5" s="325"/>
      <c r="AC5" s="325"/>
      <c r="AD5" s="49"/>
      <c r="AE5" s="49"/>
      <c r="AF5" s="49"/>
      <c r="AG5" s="49"/>
      <c r="AH5" s="49"/>
      <c r="AI5" s="47"/>
      <c r="AJ5" s="49"/>
      <c r="AK5" s="49"/>
    </row>
    <row r="6" spans="1:37">
      <c r="A6" s="46" t="s">
        <v>379</v>
      </c>
      <c r="B6" s="49"/>
      <c r="C6" s="49"/>
      <c r="D6" s="49"/>
      <c r="E6" s="49"/>
      <c r="F6" s="49"/>
      <c r="G6" s="327" t="s">
        <v>380</v>
      </c>
      <c r="H6" s="328"/>
      <c r="I6" s="328"/>
      <c r="J6" s="329"/>
      <c r="K6" s="327" t="s">
        <v>381</v>
      </c>
      <c r="L6" s="328"/>
      <c r="M6" s="329"/>
      <c r="N6" s="49"/>
      <c r="O6" s="49"/>
      <c r="P6" s="49"/>
      <c r="Q6" s="49"/>
      <c r="R6" s="49"/>
      <c r="S6" s="49"/>
      <c r="T6" s="49"/>
      <c r="U6" s="325" t="s">
        <v>378</v>
      </c>
      <c r="V6" s="325"/>
      <c r="W6" s="50" t="s">
        <v>382</v>
      </c>
      <c r="X6" s="49"/>
      <c r="Y6" s="49"/>
      <c r="Z6" s="49"/>
      <c r="AA6" s="50" t="s">
        <v>383</v>
      </c>
      <c r="AB6" s="49"/>
      <c r="AC6" s="49"/>
    </row>
    <row r="7" spans="1:37">
      <c r="A7" s="46" t="s">
        <v>384</v>
      </c>
      <c r="B7" s="325" t="s">
        <v>385</v>
      </c>
      <c r="C7" s="325"/>
      <c r="D7" s="325"/>
      <c r="E7" s="325" t="s">
        <v>386</v>
      </c>
      <c r="F7" s="325"/>
      <c r="G7" s="49"/>
      <c r="H7" s="49"/>
      <c r="I7" s="49"/>
      <c r="J7" s="49"/>
      <c r="K7" s="49"/>
      <c r="L7" s="49"/>
      <c r="M7" s="49"/>
      <c r="N7" s="49"/>
      <c r="O7" s="49"/>
      <c r="P7" s="49"/>
      <c r="Q7" s="49"/>
      <c r="R7" s="49"/>
      <c r="S7" s="49"/>
      <c r="T7" s="49"/>
      <c r="U7" s="49"/>
      <c r="V7" s="49"/>
      <c r="W7" s="49"/>
      <c r="X7" s="49"/>
      <c r="Y7" s="49"/>
      <c r="Z7" s="49"/>
      <c r="AA7" s="49"/>
      <c r="AB7" s="49"/>
      <c r="AC7" s="49"/>
    </row>
    <row r="8" spans="1:37" hidden="1">
      <c r="A8" s="46" t="s">
        <v>387</v>
      </c>
      <c r="B8" s="49"/>
      <c r="C8" s="49"/>
      <c r="D8" s="49"/>
      <c r="E8" s="49"/>
      <c r="F8" s="49"/>
      <c r="G8" s="49"/>
      <c r="H8" s="49"/>
      <c r="I8" s="49"/>
      <c r="J8" s="49"/>
      <c r="K8" s="49"/>
      <c r="L8" s="49"/>
      <c r="M8" s="49"/>
      <c r="N8" s="49"/>
      <c r="O8" s="49"/>
      <c r="P8" s="49"/>
      <c r="Q8" s="49"/>
      <c r="R8" s="325" t="s">
        <v>388</v>
      </c>
      <c r="S8" s="325"/>
      <c r="T8" s="325"/>
      <c r="U8" s="325"/>
      <c r="V8" s="325"/>
      <c r="W8" s="325" t="s">
        <v>389</v>
      </c>
      <c r="X8" s="325"/>
      <c r="Y8" s="50" t="s">
        <v>390</v>
      </c>
      <c r="Z8" s="49"/>
      <c r="AA8" s="49"/>
      <c r="AB8" s="49"/>
      <c r="AC8" s="49"/>
    </row>
    <row r="9" spans="1:37" hidden="1">
      <c r="A9" s="46" t="s">
        <v>391</v>
      </c>
      <c r="B9" s="49"/>
      <c r="C9" s="326" t="s">
        <v>392</v>
      </c>
      <c r="D9" s="326"/>
      <c r="E9" s="326"/>
      <c r="F9" s="326"/>
      <c r="G9" s="326"/>
      <c r="H9" s="330" t="s">
        <v>393</v>
      </c>
      <c r="I9" s="331" t="s">
        <v>394</v>
      </c>
      <c r="J9" s="326" t="s">
        <v>133</v>
      </c>
      <c r="K9" s="326"/>
      <c r="L9" s="326"/>
      <c r="M9" s="326"/>
      <c r="N9" s="326"/>
      <c r="O9" s="326"/>
      <c r="P9" s="326"/>
      <c r="Q9" s="326"/>
      <c r="R9" s="326"/>
      <c r="S9" s="326"/>
      <c r="T9" s="326"/>
      <c r="U9" s="326"/>
      <c r="V9" s="326" t="s">
        <v>395</v>
      </c>
      <c r="W9" s="326"/>
      <c r="X9" s="326" t="s">
        <v>149</v>
      </c>
      <c r="Y9" s="326"/>
      <c r="Z9" s="326"/>
      <c r="AA9" s="326" t="s">
        <v>396</v>
      </c>
      <c r="AB9" s="326" t="s">
        <v>397</v>
      </c>
      <c r="AC9" s="49"/>
    </row>
    <row r="10" spans="1:37">
      <c r="A10" s="87" t="s">
        <v>398</v>
      </c>
      <c r="B10" s="49"/>
      <c r="C10" s="326"/>
      <c r="D10" s="326"/>
      <c r="E10" s="326"/>
      <c r="F10" s="326"/>
      <c r="G10" s="326"/>
      <c r="H10" s="326"/>
      <c r="I10" s="331"/>
      <c r="J10" s="326"/>
      <c r="K10" s="326"/>
      <c r="L10" s="326"/>
      <c r="M10" s="326"/>
      <c r="N10" s="326"/>
      <c r="O10" s="326"/>
      <c r="P10" s="326"/>
      <c r="Q10" s="326"/>
      <c r="R10" s="326"/>
      <c r="S10" s="326"/>
      <c r="T10" s="326"/>
      <c r="U10" s="326"/>
      <c r="V10" s="326"/>
      <c r="W10" s="326"/>
      <c r="X10" s="326"/>
      <c r="Y10" s="326"/>
      <c r="Z10" s="326"/>
      <c r="AA10" s="326"/>
      <c r="AB10" s="326"/>
      <c r="AC10" s="49"/>
    </row>
    <row r="11" spans="1:37">
      <c r="A11" s="46" t="s">
        <v>399</v>
      </c>
      <c r="B11" s="49"/>
      <c r="C11" s="326"/>
      <c r="D11" s="326"/>
      <c r="E11" s="326"/>
      <c r="F11" s="326"/>
      <c r="G11" s="326"/>
      <c r="H11" s="326"/>
      <c r="I11" s="331"/>
      <c r="J11" s="326"/>
      <c r="K11" s="326"/>
      <c r="L11" s="326"/>
      <c r="M11" s="326"/>
      <c r="N11" s="326"/>
      <c r="O11" s="326"/>
      <c r="P11" s="326"/>
      <c r="Q11" s="326"/>
      <c r="R11" s="326"/>
      <c r="S11" s="326"/>
      <c r="T11" s="326"/>
      <c r="U11" s="326"/>
      <c r="V11" s="326"/>
      <c r="W11" s="326"/>
      <c r="X11" s="326"/>
      <c r="Y11" s="326"/>
      <c r="Z11" s="326"/>
      <c r="AA11" s="326"/>
      <c r="AB11" s="326"/>
      <c r="AC11" s="49"/>
    </row>
    <row r="12" spans="1:37">
      <c r="A12" s="46" t="s">
        <v>400</v>
      </c>
      <c r="B12" s="49"/>
      <c r="C12" s="326"/>
      <c r="D12" s="326"/>
      <c r="E12" s="326"/>
      <c r="F12" s="326"/>
      <c r="G12" s="326"/>
      <c r="H12" s="326"/>
      <c r="I12" s="331"/>
      <c r="J12" s="326"/>
      <c r="K12" s="326"/>
      <c r="L12" s="326"/>
      <c r="M12" s="326"/>
      <c r="N12" s="326"/>
      <c r="O12" s="326"/>
      <c r="P12" s="326"/>
      <c r="Q12" s="326"/>
      <c r="R12" s="326"/>
      <c r="S12" s="326"/>
      <c r="T12" s="326"/>
      <c r="U12" s="326"/>
      <c r="V12" s="326"/>
      <c r="W12" s="326"/>
      <c r="X12" s="326"/>
      <c r="Y12" s="326"/>
      <c r="Z12" s="326"/>
      <c r="AA12" s="326"/>
      <c r="AB12" s="326"/>
      <c r="AC12" s="49"/>
    </row>
    <row r="13" spans="1:37">
      <c r="A13" s="46" t="s">
        <v>401</v>
      </c>
      <c r="B13" s="49"/>
      <c r="C13" s="49"/>
      <c r="D13" s="47"/>
      <c r="E13" s="47"/>
      <c r="F13" s="47"/>
      <c r="G13" s="47"/>
      <c r="H13" s="47"/>
      <c r="I13" s="49"/>
      <c r="J13" s="49"/>
      <c r="K13" s="49"/>
      <c r="L13" s="49"/>
      <c r="M13" s="47"/>
      <c r="N13" s="47"/>
      <c r="O13" s="47"/>
      <c r="P13" s="47"/>
      <c r="Q13" s="49"/>
      <c r="R13" s="49"/>
      <c r="S13" s="49"/>
      <c r="T13" s="49"/>
      <c r="U13" s="49"/>
      <c r="V13" s="49"/>
      <c r="W13" s="49"/>
      <c r="X13" s="49"/>
      <c r="Y13" s="49"/>
      <c r="Z13" s="49"/>
      <c r="AA13" s="49"/>
      <c r="AB13" s="325" t="s">
        <v>402</v>
      </c>
      <c r="AC13" s="325"/>
    </row>
    <row r="14" spans="1:37">
      <c r="A14" s="46" t="s">
        <v>403</v>
      </c>
      <c r="B14" s="51"/>
      <c r="C14" s="51"/>
      <c r="D14" s="47"/>
      <c r="E14" s="47"/>
      <c r="F14" s="47"/>
      <c r="G14" s="47"/>
      <c r="H14" s="47"/>
      <c r="I14" s="49"/>
      <c r="J14" s="49"/>
      <c r="K14" s="49"/>
      <c r="L14" s="49"/>
      <c r="M14" s="47"/>
      <c r="N14" s="47"/>
      <c r="O14" s="47"/>
      <c r="P14" s="47"/>
      <c r="Q14" s="49"/>
      <c r="R14" s="49"/>
      <c r="S14" s="49"/>
      <c r="T14" s="49"/>
      <c r="U14" s="49"/>
      <c r="V14" s="49"/>
      <c r="W14" s="49"/>
      <c r="X14" s="327" t="s">
        <v>403</v>
      </c>
      <c r="Y14" s="328"/>
      <c r="Z14" s="329"/>
      <c r="AA14" s="49"/>
      <c r="AB14" s="52"/>
      <c r="AC14" s="52"/>
    </row>
    <row r="15" spans="1:37">
      <c r="A15" s="46"/>
      <c r="B15" s="42"/>
      <c r="C15" s="42"/>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row>
    <row r="16" spans="1:37">
      <c r="A16" s="46" t="s">
        <v>404</v>
      </c>
      <c r="B16" s="42"/>
      <c r="C16" s="42"/>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row>
    <row r="17" spans="1:29">
      <c r="A17" s="46" t="s">
        <v>405</v>
      </c>
      <c r="B17" s="49"/>
      <c r="C17" s="49"/>
      <c r="D17" s="325" t="s">
        <v>380</v>
      </c>
      <c r="E17" s="325"/>
      <c r="F17" s="325"/>
      <c r="G17" s="325" t="s">
        <v>406</v>
      </c>
      <c r="H17" s="325"/>
      <c r="I17" s="325"/>
      <c r="J17" s="325" t="s">
        <v>378</v>
      </c>
      <c r="K17" s="325"/>
      <c r="L17" s="325"/>
      <c r="M17" s="327" t="s">
        <v>407</v>
      </c>
      <c r="N17" s="329"/>
      <c r="O17" s="49"/>
      <c r="P17" s="49"/>
      <c r="Q17" s="49"/>
      <c r="R17" s="49"/>
      <c r="S17" s="49"/>
      <c r="T17" s="49"/>
      <c r="U17" s="49"/>
      <c r="V17" s="49"/>
      <c r="W17" s="49"/>
      <c r="X17" s="49"/>
      <c r="Y17" s="49"/>
      <c r="Z17" s="49"/>
      <c r="AA17" s="49"/>
      <c r="AB17" s="49"/>
      <c r="AC17" s="49"/>
    </row>
    <row r="18" spans="1:29">
      <c r="A18" s="46" t="s">
        <v>408</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row>
    <row r="19" spans="1:29">
      <c r="A19" s="46" t="s">
        <v>409</v>
      </c>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row>
    <row r="20" spans="1:29">
      <c r="A20" s="46" t="s">
        <v>410</v>
      </c>
      <c r="B20" s="49"/>
      <c r="C20" s="49"/>
      <c r="D20" s="325" t="s">
        <v>380</v>
      </c>
      <c r="E20" s="325"/>
      <c r="F20" s="325"/>
      <c r="G20" s="325"/>
      <c r="H20" s="325"/>
      <c r="I20" s="325"/>
      <c r="J20" s="325" t="s">
        <v>406</v>
      </c>
      <c r="K20" s="325"/>
      <c r="L20" s="325"/>
      <c r="M20" s="325"/>
      <c r="N20" s="325" t="s">
        <v>378</v>
      </c>
      <c r="O20" s="325"/>
      <c r="P20" s="325"/>
      <c r="Q20" s="325"/>
      <c r="R20" s="325"/>
      <c r="S20" s="325" t="s">
        <v>407</v>
      </c>
      <c r="T20" s="325"/>
      <c r="U20" s="49"/>
      <c r="V20" s="49"/>
      <c r="W20" s="49"/>
      <c r="X20" s="49"/>
      <c r="Y20" s="49"/>
      <c r="Z20" s="49"/>
      <c r="AA20" s="49"/>
      <c r="AB20" s="49"/>
      <c r="AC20" s="49"/>
    </row>
    <row r="23" spans="1:29">
      <c r="A23" s="42"/>
      <c r="B23" s="42"/>
      <c r="C23" s="42"/>
    </row>
    <row r="24" spans="1:29">
      <c r="A24" s="42"/>
      <c r="B24" s="42"/>
      <c r="C24" s="42"/>
      <c r="E24" s="54"/>
    </row>
    <row r="25" spans="1:29">
      <c r="A25" s="42"/>
      <c r="B25" s="42"/>
      <c r="C25" s="42"/>
    </row>
    <row r="26" spans="1:29">
      <c r="A26" s="55" t="s">
        <v>411</v>
      </c>
      <c r="B26" s="42"/>
      <c r="C26" s="42"/>
    </row>
    <row r="27" spans="1:29">
      <c r="A27" s="56" t="s">
        <v>412</v>
      </c>
      <c r="B27" s="42"/>
      <c r="C27" s="42"/>
    </row>
    <row r="28" spans="1:29">
      <c r="A28" s="42"/>
      <c r="B28" s="42"/>
      <c r="C28" s="42"/>
    </row>
    <row r="29" spans="1:29">
      <c r="G29" s="53"/>
    </row>
  </sheetData>
  <mergeCells count="42">
    <mergeCell ref="Z1:AC1"/>
    <mergeCell ref="B3:C3"/>
    <mergeCell ref="F3:G3"/>
    <mergeCell ref="F4:P4"/>
    <mergeCell ref="Q4:R4"/>
    <mergeCell ref="S4:U4"/>
    <mergeCell ref="B1:C1"/>
    <mergeCell ref="D1:G1"/>
    <mergeCell ref="H1:J1"/>
    <mergeCell ref="K1:P1"/>
    <mergeCell ref="Q1:T1"/>
    <mergeCell ref="U1:Y1"/>
    <mergeCell ref="Q5:R5"/>
    <mergeCell ref="S5:T5"/>
    <mergeCell ref="U5:Z5"/>
    <mergeCell ref="AA5:AC5"/>
    <mergeCell ref="B7:D7"/>
    <mergeCell ref="E7:F7"/>
    <mergeCell ref="G6:J6"/>
    <mergeCell ref="K6:M6"/>
    <mergeCell ref="U6:V6"/>
    <mergeCell ref="H5:P5"/>
    <mergeCell ref="R8:V8"/>
    <mergeCell ref="W8:X8"/>
    <mergeCell ref="C9:G12"/>
    <mergeCell ref="H9:H12"/>
    <mergeCell ref="I9:I12"/>
    <mergeCell ref="J9:U12"/>
    <mergeCell ref="V9:W12"/>
    <mergeCell ref="X9:Z12"/>
    <mergeCell ref="AB9:AB12"/>
    <mergeCell ref="AB13:AC13"/>
    <mergeCell ref="X14:Z14"/>
    <mergeCell ref="D17:F17"/>
    <mergeCell ref="G17:I17"/>
    <mergeCell ref="J17:L17"/>
    <mergeCell ref="M17:N17"/>
    <mergeCell ref="D20:I20"/>
    <mergeCell ref="J20:M20"/>
    <mergeCell ref="N20:R20"/>
    <mergeCell ref="S20:T20"/>
    <mergeCell ref="AA9:AA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75840-BC8F-48B8-9D93-3F86DF5292FC}">
  <sheetPr>
    <tabColor rgb="FF00B050"/>
    <pageSetUpPr fitToPage="1"/>
  </sheetPr>
  <dimension ref="A1:HJ31"/>
  <sheetViews>
    <sheetView showGridLines="0" showRuler="0" topLeftCell="DY1" zoomScaleNormal="100" zoomScalePageLayoutView="70" workbookViewId="0">
      <selection activeCell="H25" sqref="H25:HI25"/>
    </sheetView>
  </sheetViews>
  <sheetFormatPr defaultColWidth="8" defaultRowHeight="30" customHeight="1"/>
  <cols>
    <col min="1" max="1" width="4.19921875" style="90" customWidth="1"/>
    <col min="2" max="2" width="34" style="130" bestFit="1" customWidth="1"/>
    <col min="3" max="3" width="8.59765625" style="130" bestFit="1" customWidth="1"/>
    <col min="4" max="4" width="31.3984375" style="130" bestFit="1" customWidth="1"/>
    <col min="5" max="5" width="8.59765625" style="131" bestFit="1" customWidth="1"/>
    <col min="6" max="6" width="7" style="130" bestFit="1" customWidth="1"/>
    <col min="7" max="7" width="2.19921875" style="130" customWidth="1"/>
    <col min="8" max="8" width="3" style="130" customWidth="1"/>
    <col min="9" max="9" width="1.69921875" style="130" bestFit="1" customWidth="1"/>
    <col min="10" max="10" width="2.3984375" style="130" bestFit="1" customWidth="1"/>
    <col min="11" max="11" width="1.69921875" style="177" bestFit="1" customWidth="1"/>
    <col min="12" max="12" width="2.19921875" style="177" customWidth="1"/>
    <col min="13" max="13" width="2.8984375" style="130" customWidth="1"/>
    <col min="14" max="15" width="1.69921875" style="130" bestFit="1" customWidth="1"/>
    <col min="16" max="16" width="2.3984375" style="130" bestFit="1" customWidth="1"/>
    <col min="17" max="37" width="2.69921875" style="130" bestFit="1" customWidth="1"/>
    <col min="38" max="38" width="3.3984375" style="130" customWidth="1"/>
    <col min="39" max="39" width="2.3984375" style="130" bestFit="1" customWidth="1"/>
    <col min="40" max="40" width="1.69921875" style="130" bestFit="1" customWidth="1"/>
    <col min="41" max="41" width="2.3984375" style="130" bestFit="1" customWidth="1"/>
    <col min="42" max="45" width="1.69921875" style="130" bestFit="1" customWidth="1"/>
    <col min="46" max="46" width="2.3984375" style="130" bestFit="1" customWidth="1"/>
    <col min="47" max="68" width="2.69921875" style="130" bestFit="1" customWidth="1"/>
    <col min="69" max="69" width="2.3984375" style="130" bestFit="1" customWidth="1"/>
    <col min="70" max="73" width="1.69921875" style="130" bestFit="1" customWidth="1"/>
    <col min="74" max="74" width="2.3984375" style="130" bestFit="1" customWidth="1"/>
    <col min="75" max="75" width="1.69921875" style="130" bestFit="1" customWidth="1"/>
    <col min="76" max="76" width="2.3984375" style="130" bestFit="1" customWidth="1"/>
    <col min="77" max="77" width="1.69921875" style="130" bestFit="1" customWidth="1"/>
    <col min="78" max="100" width="2.69921875" style="130" bestFit="1" customWidth="1"/>
    <col min="101" max="101" width="1.69921875" style="130" bestFit="1" customWidth="1"/>
    <col min="102" max="102" width="2.3984375" style="130" bestFit="1" customWidth="1"/>
    <col min="103" max="103" width="1.69921875" style="130" bestFit="1" customWidth="1"/>
    <col min="104" max="104" width="2.3984375" style="130" bestFit="1" customWidth="1"/>
    <col min="105" max="106" width="1.69921875" style="130" bestFit="1" customWidth="1"/>
    <col min="107" max="128" width="2.69921875" style="130" bestFit="1" customWidth="1"/>
    <col min="129" max="129" width="1.69921875" style="130" bestFit="1" customWidth="1"/>
    <col min="130" max="130" width="2.3984375" style="130" bestFit="1" customWidth="1"/>
    <col min="131" max="131" width="1.69921875" style="130" bestFit="1" customWidth="1"/>
    <col min="132" max="132" width="2.3984375" style="130" bestFit="1" customWidth="1"/>
    <col min="133" max="136" width="1.69921875" style="130" bestFit="1" customWidth="1"/>
    <col min="137" max="137" width="2.3984375" style="130" bestFit="1" customWidth="1"/>
    <col min="138" max="158" width="2.69921875" style="130" bestFit="1" customWidth="1"/>
    <col min="159" max="159" width="1.69921875" style="130" bestFit="1" customWidth="1"/>
    <col min="160" max="160" width="2.3984375" style="130" bestFit="1" customWidth="1"/>
    <col min="161" max="164" width="1.69921875" style="130" bestFit="1" customWidth="1"/>
    <col min="165" max="165" width="2.3984375" style="130" bestFit="1" customWidth="1"/>
    <col min="166" max="166" width="1.69921875" style="130" bestFit="1" customWidth="1"/>
    <col min="167" max="167" width="2.3984375" style="130" bestFit="1" customWidth="1"/>
    <col min="168" max="189" width="2.69921875" style="130" bestFit="1" customWidth="1"/>
    <col min="190" max="192" width="1.69921875" style="130" bestFit="1" customWidth="1"/>
    <col min="193" max="193" width="2.3984375" style="130" bestFit="1" customWidth="1"/>
    <col min="194" max="194" width="1.69921875" style="130" bestFit="1" customWidth="1"/>
    <col min="195" max="195" width="2.3984375" style="130" bestFit="1" customWidth="1"/>
    <col min="196" max="198" width="1.69921875" style="130" bestFit="1" customWidth="1"/>
    <col min="199" max="213" width="2.69921875" style="130" bestFit="1" customWidth="1"/>
    <col min="214" max="214" width="1.69921875" style="130" bestFit="1" customWidth="1"/>
    <col min="215" max="215" width="2.3984375" style="130" bestFit="1" customWidth="1"/>
    <col min="216" max="218" width="2.69921875" style="130" bestFit="1" customWidth="1"/>
    <col min="219" max="16384" width="8" style="130"/>
  </cols>
  <sheetData>
    <row r="1" spans="1:218" ht="25.2" customHeight="1">
      <c r="K1" s="253"/>
      <c r="L1" s="253"/>
    </row>
    <row r="2" spans="1:218" ht="49.95" customHeight="1">
      <c r="A2" s="100"/>
      <c r="B2" s="322" t="s">
        <v>304</v>
      </c>
      <c r="C2" s="322"/>
      <c r="D2" s="322"/>
      <c r="E2" s="322"/>
      <c r="F2" s="322"/>
      <c r="G2" s="322"/>
      <c r="H2" s="340"/>
      <c r="I2" s="340"/>
      <c r="J2" s="340"/>
      <c r="K2" s="340"/>
      <c r="L2" s="340"/>
      <c r="M2" s="340"/>
      <c r="N2" s="341"/>
      <c r="O2" s="341"/>
      <c r="P2" s="341"/>
      <c r="Q2" s="341"/>
      <c r="R2" s="341"/>
      <c r="S2" s="341"/>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8"/>
      <c r="AV2" s="168"/>
      <c r="AW2" s="168"/>
      <c r="AX2" s="168"/>
      <c r="AY2" s="168"/>
      <c r="AZ2" s="168"/>
      <c r="BA2" s="168"/>
      <c r="BB2" s="168"/>
      <c r="BC2" s="168"/>
      <c r="BD2" s="168"/>
      <c r="BE2" s="168"/>
      <c r="BF2" s="168"/>
      <c r="BG2" s="168"/>
      <c r="BH2" s="168"/>
      <c r="BI2" s="168"/>
      <c r="BJ2" s="168"/>
      <c r="BK2" s="168"/>
      <c r="BL2" s="168"/>
    </row>
    <row r="3" spans="1:218" ht="19.95" customHeight="1">
      <c r="A3" s="100"/>
      <c r="B3" s="119"/>
      <c r="C3" s="167"/>
      <c r="D3" s="165"/>
      <c r="E3" s="166"/>
      <c r="F3" s="165"/>
      <c r="G3" s="165"/>
      <c r="H3" s="164"/>
      <c r="I3" s="134"/>
      <c r="J3" s="134"/>
      <c r="K3" s="254"/>
      <c r="L3" s="253"/>
    </row>
    <row r="4" spans="1:218" ht="30" customHeight="1">
      <c r="A4" s="100"/>
      <c r="B4" s="163"/>
      <c r="C4" s="162"/>
      <c r="D4" s="139"/>
      <c r="E4" s="159"/>
      <c r="F4" s="161" t="s">
        <v>413</v>
      </c>
      <c r="G4" s="139"/>
      <c r="H4" s="344" t="s">
        <v>414</v>
      </c>
      <c r="I4" s="344"/>
      <c r="J4" s="344"/>
      <c r="K4" s="344"/>
      <c r="L4" s="253"/>
      <c r="M4" s="342" t="s">
        <v>415</v>
      </c>
      <c r="N4" s="342"/>
      <c r="O4" s="342"/>
      <c r="P4" s="342"/>
      <c r="R4" s="343" t="s">
        <v>416</v>
      </c>
      <c r="S4" s="343"/>
      <c r="T4" s="343"/>
      <c r="U4" s="343"/>
      <c r="W4" s="338" t="s">
        <v>417</v>
      </c>
      <c r="X4" s="338"/>
      <c r="Y4" s="338"/>
      <c r="Z4" s="338"/>
      <c r="AB4" s="339" t="s">
        <v>418</v>
      </c>
      <c r="AC4" s="339"/>
      <c r="AD4" s="339"/>
      <c r="AE4" s="339"/>
    </row>
    <row r="5" spans="1:218" ht="30" customHeight="1">
      <c r="A5" s="100"/>
      <c r="B5" s="115"/>
      <c r="C5" s="153"/>
      <c r="D5" s="139"/>
      <c r="E5" s="159"/>
      <c r="F5" s="139"/>
      <c r="G5" s="139"/>
      <c r="K5" s="253"/>
      <c r="L5" s="253"/>
    </row>
    <row r="6" spans="1:218" ht="30" customHeight="1">
      <c r="A6" s="100"/>
      <c r="B6" s="158" t="s">
        <v>419</v>
      </c>
      <c r="C6" s="160">
        <v>45796</v>
      </c>
      <c r="D6" s="139"/>
      <c r="E6" s="159"/>
      <c r="F6" s="139"/>
      <c r="G6" s="139"/>
      <c r="H6" s="195" t="s">
        <v>420</v>
      </c>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5" t="s">
        <v>308</v>
      </c>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t="s">
        <v>421</v>
      </c>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t="s">
        <v>422</v>
      </c>
      <c r="CW6" s="195"/>
      <c r="CX6" s="195"/>
      <c r="CY6" s="195"/>
      <c r="CZ6" s="195"/>
      <c r="DA6" s="195"/>
      <c r="DB6" s="195"/>
      <c r="DC6" s="195"/>
      <c r="DD6" s="195"/>
      <c r="DE6" s="195"/>
      <c r="DF6" s="195"/>
      <c r="DG6" s="195"/>
      <c r="DH6" s="195"/>
      <c r="DI6" s="195"/>
      <c r="DJ6" s="195"/>
      <c r="DK6" s="195"/>
      <c r="DL6" s="195"/>
      <c r="DM6" s="195"/>
      <c r="DN6" s="195"/>
      <c r="DO6" s="195"/>
      <c r="DP6" s="195"/>
      <c r="DQ6" s="195"/>
      <c r="DR6" s="195"/>
      <c r="DS6" s="195"/>
      <c r="DT6" s="195"/>
      <c r="DU6" s="195"/>
      <c r="DV6" s="195"/>
      <c r="DW6" s="195"/>
      <c r="DX6" s="195" t="s">
        <v>423</v>
      </c>
      <c r="DY6" s="195"/>
      <c r="DZ6" s="195"/>
      <c r="EA6" s="195"/>
      <c r="EB6" s="195"/>
      <c r="EC6" s="195"/>
      <c r="ED6" s="195"/>
      <c r="EE6" s="195"/>
      <c r="EF6" s="195"/>
      <c r="EG6" s="195"/>
      <c r="EH6" s="195"/>
      <c r="EI6" s="195"/>
      <c r="EJ6" s="195"/>
      <c r="EK6" s="195"/>
      <c r="EL6" s="195"/>
      <c r="EM6" s="195"/>
      <c r="EN6" s="195"/>
      <c r="EO6" s="195"/>
      <c r="EP6" s="195"/>
      <c r="EQ6" s="195"/>
      <c r="ER6" s="195"/>
      <c r="ES6" s="195"/>
      <c r="ET6" s="195"/>
      <c r="EU6" s="195"/>
      <c r="EV6" s="195"/>
      <c r="EW6" s="195"/>
      <c r="EX6" s="195"/>
      <c r="EY6" s="195"/>
      <c r="EZ6" s="195"/>
      <c r="FA6" s="195"/>
      <c r="FB6" s="195"/>
      <c r="FC6" s="195" t="s">
        <v>334</v>
      </c>
      <c r="FD6" s="195"/>
      <c r="FE6" s="195"/>
      <c r="FF6" s="195"/>
      <c r="FG6" s="195"/>
      <c r="FH6" s="195"/>
      <c r="FI6" s="195"/>
      <c r="FJ6" s="195"/>
      <c r="FK6" s="195"/>
      <c r="FL6" s="195"/>
      <c r="FM6" s="195"/>
      <c r="FN6" s="195"/>
      <c r="FO6" s="195"/>
      <c r="FP6" s="195"/>
      <c r="FQ6" s="195"/>
      <c r="FR6" s="195"/>
      <c r="FS6" s="195"/>
      <c r="FT6" s="195"/>
      <c r="FU6" s="195"/>
      <c r="FV6" s="195"/>
      <c r="FW6" s="195"/>
      <c r="FX6" s="195"/>
      <c r="FY6" s="195"/>
      <c r="FZ6" s="195"/>
      <c r="GA6" s="195"/>
      <c r="GB6" s="195"/>
      <c r="GC6" s="195"/>
      <c r="GD6" s="195"/>
      <c r="GE6" s="195"/>
      <c r="GF6" s="195"/>
      <c r="GG6" s="195" t="s">
        <v>335</v>
      </c>
      <c r="GH6" s="195"/>
      <c r="GI6" s="195"/>
      <c r="GJ6" s="195"/>
      <c r="GK6" s="195"/>
      <c r="GL6" s="195"/>
      <c r="GM6" s="195"/>
      <c r="GN6" s="195"/>
      <c r="GO6" s="195"/>
      <c r="GP6" s="195"/>
      <c r="GQ6" s="195"/>
      <c r="GR6" s="195"/>
      <c r="GS6" s="195"/>
      <c r="GT6" s="195"/>
      <c r="GU6" s="195"/>
      <c r="GV6" s="195"/>
      <c r="GW6" s="195"/>
      <c r="GX6" s="195"/>
      <c r="GY6" s="195"/>
      <c r="GZ6" s="195"/>
      <c r="HA6" s="195"/>
      <c r="HB6" s="195"/>
      <c r="HC6" s="195"/>
      <c r="HD6" s="195"/>
      <c r="HE6" s="195"/>
      <c r="HF6" s="195"/>
      <c r="HG6" s="195"/>
      <c r="HH6" s="195"/>
      <c r="HI6" s="195"/>
      <c r="HJ6" s="195"/>
    </row>
    <row r="7" spans="1:218" ht="30" customHeight="1">
      <c r="A7" s="100"/>
      <c r="B7" s="158"/>
      <c r="C7" s="157"/>
      <c r="D7" s="139"/>
      <c r="E7" s="139"/>
      <c r="F7" s="139"/>
      <c r="G7" s="152"/>
      <c r="H7" s="196" t="s">
        <v>424</v>
      </c>
      <c r="I7" s="197" t="s">
        <v>424</v>
      </c>
      <c r="J7" s="197" t="s">
        <v>425</v>
      </c>
      <c r="K7" s="197" t="s">
        <v>426</v>
      </c>
      <c r="L7" s="197" t="s">
        <v>427</v>
      </c>
      <c r="M7" s="198" t="s">
        <v>428</v>
      </c>
      <c r="N7" s="197" t="s">
        <v>429</v>
      </c>
      <c r="O7" s="197" t="s">
        <v>424</v>
      </c>
      <c r="P7" s="197" t="s">
        <v>424</v>
      </c>
      <c r="Q7" s="197" t="s">
        <v>425</v>
      </c>
      <c r="R7" s="197" t="s">
        <v>426</v>
      </c>
      <c r="S7" s="197" t="s">
        <v>427</v>
      </c>
      <c r="T7" s="198" t="s">
        <v>428</v>
      </c>
      <c r="U7" s="197" t="s">
        <v>429</v>
      </c>
      <c r="V7" s="197" t="s">
        <v>424</v>
      </c>
      <c r="W7" s="197" t="s">
        <v>424</v>
      </c>
      <c r="X7" s="197" t="s">
        <v>425</v>
      </c>
      <c r="Y7" s="197" t="s">
        <v>426</v>
      </c>
      <c r="Z7" s="197" t="s">
        <v>427</v>
      </c>
      <c r="AA7" s="198" t="s">
        <v>428</v>
      </c>
      <c r="AB7" s="197" t="s">
        <v>429</v>
      </c>
      <c r="AC7" s="197" t="s">
        <v>424</v>
      </c>
      <c r="AD7" s="197" t="s">
        <v>424</v>
      </c>
      <c r="AE7" s="197" t="s">
        <v>425</v>
      </c>
      <c r="AF7" s="197" t="s">
        <v>426</v>
      </c>
      <c r="AG7" s="197" t="s">
        <v>427</v>
      </c>
      <c r="AH7" s="198" t="s">
        <v>428</v>
      </c>
      <c r="AI7" s="197" t="s">
        <v>429</v>
      </c>
      <c r="AJ7" s="197" t="s">
        <v>424</v>
      </c>
      <c r="AK7" s="197" t="s">
        <v>424</v>
      </c>
      <c r="AL7" s="197" t="s">
        <v>425</v>
      </c>
      <c r="AM7" s="197" t="s">
        <v>426</v>
      </c>
      <c r="AN7" s="197" t="s">
        <v>427</v>
      </c>
      <c r="AO7" s="198" t="s">
        <v>428</v>
      </c>
      <c r="AP7" s="197" t="s">
        <v>429</v>
      </c>
      <c r="AQ7" s="197" t="s">
        <v>424</v>
      </c>
      <c r="AR7" s="197" t="s">
        <v>424</v>
      </c>
      <c r="AS7" s="197" t="s">
        <v>425</v>
      </c>
      <c r="AT7" s="197" t="s">
        <v>426</v>
      </c>
      <c r="AU7" s="197" t="s">
        <v>427</v>
      </c>
      <c r="AV7" s="198" t="s">
        <v>428</v>
      </c>
      <c r="AW7" s="197" t="s">
        <v>429</v>
      </c>
      <c r="AX7" s="197" t="s">
        <v>424</v>
      </c>
      <c r="AY7" s="197" t="s">
        <v>424</v>
      </c>
      <c r="AZ7" s="197" t="s">
        <v>425</v>
      </c>
      <c r="BA7" s="197" t="s">
        <v>426</v>
      </c>
      <c r="BB7" s="197" t="s">
        <v>427</v>
      </c>
      <c r="BC7" s="198" t="s">
        <v>428</v>
      </c>
      <c r="BD7" s="197" t="s">
        <v>429</v>
      </c>
      <c r="BE7" s="197" t="s">
        <v>424</v>
      </c>
      <c r="BF7" s="197" t="s">
        <v>424</v>
      </c>
      <c r="BG7" s="197" t="s">
        <v>425</v>
      </c>
      <c r="BH7" s="197" t="s">
        <v>426</v>
      </c>
      <c r="BI7" s="197" t="s">
        <v>427</v>
      </c>
      <c r="BJ7" s="198" t="s">
        <v>428</v>
      </c>
      <c r="BK7" s="197" t="s">
        <v>429</v>
      </c>
      <c r="BL7" s="197" t="s">
        <v>424</v>
      </c>
      <c r="BM7" s="197" t="s">
        <v>424</v>
      </c>
      <c r="BN7" s="197" t="s">
        <v>425</v>
      </c>
      <c r="BO7" s="197" t="s">
        <v>426</v>
      </c>
      <c r="BP7" s="197" t="s">
        <v>427</v>
      </c>
      <c r="BQ7" s="198" t="s">
        <v>428</v>
      </c>
      <c r="BR7" s="197" t="s">
        <v>429</v>
      </c>
      <c r="BS7" s="197" t="s">
        <v>424</v>
      </c>
      <c r="BT7" s="197" t="s">
        <v>424</v>
      </c>
      <c r="BU7" s="197" t="s">
        <v>425</v>
      </c>
      <c r="BV7" s="197" t="s">
        <v>426</v>
      </c>
      <c r="BW7" s="197" t="s">
        <v>427</v>
      </c>
      <c r="BX7" s="198" t="s">
        <v>428</v>
      </c>
      <c r="BY7" s="197" t="s">
        <v>429</v>
      </c>
      <c r="BZ7" s="197" t="s">
        <v>424</v>
      </c>
      <c r="CA7" s="197" t="s">
        <v>424</v>
      </c>
      <c r="CB7" s="197" t="s">
        <v>425</v>
      </c>
      <c r="CC7" s="197" t="s">
        <v>426</v>
      </c>
      <c r="CD7" s="197" t="s">
        <v>427</v>
      </c>
      <c r="CE7" s="198" t="s">
        <v>428</v>
      </c>
      <c r="CF7" s="197" t="s">
        <v>429</v>
      </c>
      <c r="CG7" s="197" t="s">
        <v>424</v>
      </c>
      <c r="CH7" s="197" t="s">
        <v>424</v>
      </c>
      <c r="CI7" s="197" t="s">
        <v>425</v>
      </c>
      <c r="CJ7" s="197" t="s">
        <v>426</v>
      </c>
      <c r="CK7" s="197" t="s">
        <v>427</v>
      </c>
      <c r="CL7" s="198" t="s">
        <v>428</v>
      </c>
      <c r="CM7" s="197" t="s">
        <v>429</v>
      </c>
      <c r="CN7" s="197" t="s">
        <v>424</v>
      </c>
      <c r="CO7" s="197" t="s">
        <v>424</v>
      </c>
      <c r="CP7" s="197" t="s">
        <v>425</v>
      </c>
      <c r="CQ7" s="197" t="s">
        <v>426</v>
      </c>
      <c r="CR7" s="197" t="s">
        <v>427</v>
      </c>
      <c r="CS7" s="198" t="s">
        <v>428</v>
      </c>
      <c r="CT7" s="197" t="s">
        <v>429</v>
      </c>
      <c r="CU7" s="197" t="s">
        <v>424</v>
      </c>
      <c r="CV7" s="197" t="s">
        <v>424</v>
      </c>
      <c r="CW7" s="197" t="s">
        <v>425</v>
      </c>
      <c r="CX7" s="197" t="s">
        <v>426</v>
      </c>
      <c r="CY7" s="197" t="s">
        <v>427</v>
      </c>
      <c r="CZ7" s="198" t="s">
        <v>428</v>
      </c>
      <c r="DA7" s="197" t="s">
        <v>429</v>
      </c>
      <c r="DB7" s="197" t="s">
        <v>424</v>
      </c>
      <c r="DC7" s="197" t="s">
        <v>424</v>
      </c>
      <c r="DD7" s="197" t="s">
        <v>425</v>
      </c>
      <c r="DE7" s="197" t="s">
        <v>426</v>
      </c>
      <c r="DF7" s="197" t="s">
        <v>427</v>
      </c>
      <c r="DG7" s="198" t="s">
        <v>428</v>
      </c>
      <c r="DH7" s="197" t="s">
        <v>429</v>
      </c>
      <c r="DI7" s="197" t="s">
        <v>424</v>
      </c>
      <c r="DJ7" s="197" t="s">
        <v>424</v>
      </c>
      <c r="DK7" s="197" t="s">
        <v>425</v>
      </c>
      <c r="DL7" s="197" t="s">
        <v>426</v>
      </c>
      <c r="DM7" s="197" t="s">
        <v>427</v>
      </c>
      <c r="DN7" s="198" t="s">
        <v>428</v>
      </c>
      <c r="DO7" s="197" t="s">
        <v>429</v>
      </c>
      <c r="DP7" s="197" t="s">
        <v>424</v>
      </c>
      <c r="DQ7" s="197" t="s">
        <v>424</v>
      </c>
      <c r="DR7" s="197" t="s">
        <v>425</v>
      </c>
      <c r="DS7" s="197" t="s">
        <v>426</v>
      </c>
      <c r="DT7" s="197" t="s">
        <v>427</v>
      </c>
      <c r="DU7" s="198" t="s">
        <v>428</v>
      </c>
      <c r="DV7" s="197" t="s">
        <v>429</v>
      </c>
      <c r="DW7" s="197" t="s">
        <v>424</v>
      </c>
      <c r="DX7" s="197" t="s">
        <v>424</v>
      </c>
      <c r="DY7" s="197" t="s">
        <v>425</v>
      </c>
      <c r="DZ7" s="197" t="s">
        <v>426</v>
      </c>
      <c r="EA7" s="197" t="s">
        <v>427</v>
      </c>
      <c r="EB7" s="198" t="s">
        <v>428</v>
      </c>
      <c r="EC7" s="197" t="s">
        <v>429</v>
      </c>
      <c r="ED7" s="197" t="s">
        <v>424</v>
      </c>
      <c r="EE7" s="197" t="s">
        <v>424</v>
      </c>
      <c r="EF7" s="197" t="s">
        <v>425</v>
      </c>
      <c r="EG7" s="197" t="s">
        <v>426</v>
      </c>
      <c r="EH7" s="197" t="s">
        <v>427</v>
      </c>
      <c r="EI7" s="198" t="s">
        <v>428</v>
      </c>
      <c r="EJ7" s="197" t="s">
        <v>429</v>
      </c>
      <c r="EK7" s="197" t="s">
        <v>424</v>
      </c>
      <c r="EL7" s="197" t="s">
        <v>424</v>
      </c>
      <c r="EM7" s="197" t="s">
        <v>425</v>
      </c>
      <c r="EN7" s="197" t="s">
        <v>426</v>
      </c>
      <c r="EO7" s="197" t="s">
        <v>427</v>
      </c>
      <c r="EP7" s="198" t="s">
        <v>428</v>
      </c>
      <c r="EQ7" s="197" t="s">
        <v>429</v>
      </c>
      <c r="ER7" s="197" t="s">
        <v>424</v>
      </c>
      <c r="ES7" s="197" t="s">
        <v>424</v>
      </c>
      <c r="ET7" s="197" t="s">
        <v>425</v>
      </c>
      <c r="EU7" s="197" t="s">
        <v>426</v>
      </c>
      <c r="EV7" s="197" t="s">
        <v>427</v>
      </c>
      <c r="EW7" s="198" t="s">
        <v>428</v>
      </c>
      <c r="EX7" s="197" t="s">
        <v>429</v>
      </c>
      <c r="EY7" s="197" t="s">
        <v>424</v>
      </c>
      <c r="EZ7" s="197" t="s">
        <v>424</v>
      </c>
      <c r="FA7" s="197" t="s">
        <v>425</v>
      </c>
      <c r="FB7" s="197" t="s">
        <v>426</v>
      </c>
      <c r="FC7" s="197" t="s">
        <v>427</v>
      </c>
      <c r="FD7" s="198" t="s">
        <v>428</v>
      </c>
      <c r="FE7" s="197" t="s">
        <v>429</v>
      </c>
      <c r="FF7" s="197" t="s">
        <v>424</v>
      </c>
      <c r="FG7" s="197" t="s">
        <v>424</v>
      </c>
      <c r="FH7" s="197" t="s">
        <v>425</v>
      </c>
      <c r="FI7" s="197" t="s">
        <v>426</v>
      </c>
      <c r="FJ7" s="197" t="s">
        <v>427</v>
      </c>
      <c r="FK7" s="198" t="s">
        <v>428</v>
      </c>
      <c r="FL7" s="197" t="s">
        <v>429</v>
      </c>
      <c r="FM7" s="197" t="s">
        <v>424</v>
      </c>
      <c r="FN7" s="197" t="s">
        <v>424</v>
      </c>
      <c r="FO7" s="197" t="s">
        <v>425</v>
      </c>
      <c r="FP7" s="197" t="s">
        <v>426</v>
      </c>
      <c r="FQ7" s="197" t="s">
        <v>427</v>
      </c>
      <c r="FR7" s="198" t="s">
        <v>428</v>
      </c>
      <c r="FS7" s="197" t="s">
        <v>429</v>
      </c>
      <c r="FT7" s="197" t="s">
        <v>424</v>
      </c>
      <c r="FU7" s="197" t="s">
        <v>424</v>
      </c>
      <c r="FV7" s="197" t="s">
        <v>425</v>
      </c>
      <c r="FW7" s="197" t="s">
        <v>426</v>
      </c>
      <c r="FX7" s="197" t="s">
        <v>427</v>
      </c>
      <c r="FY7" s="198" t="s">
        <v>428</v>
      </c>
      <c r="FZ7" s="197" t="s">
        <v>429</v>
      </c>
      <c r="GA7" s="197" t="s">
        <v>424</v>
      </c>
      <c r="GB7" s="197" t="s">
        <v>424</v>
      </c>
      <c r="GC7" s="197" t="s">
        <v>425</v>
      </c>
      <c r="GD7" s="197" t="s">
        <v>426</v>
      </c>
      <c r="GE7" s="197" t="s">
        <v>427</v>
      </c>
      <c r="GF7" s="198" t="s">
        <v>428</v>
      </c>
      <c r="GG7" s="197" t="s">
        <v>429</v>
      </c>
      <c r="GH7" s="197" t="s">
        <v>424</v>
      </c>
      <c r="GI7" s="197" t="s">
        <v>424</v>
      </c>
      <c r="GJ7" s="197" t="s">
        <v>425</v>
      </c>
      <c r="GK7" s="197" t="s">
        <v>426</v>
      </c>
      <c r="GL7" s="197" t="s">
        <v>427</v>
      </c>
      <c r="GM7" s="198" t="s">
        <v>428</v>
      </c>
      <c r="GN7" s="197" t="s">
        <v>429</v>
      </c>
      <c r="GO7" s="197" t="s">
        <v>424</v>
      </c>
      <c r="GP7" s="197" t="s">
        <v>424</v>
      </c>
      <c r="GQ7" s="197" t="s">
        <v>425</v>
      </c>
      <c r="GR7" s="197" t="s">
        <v>426</v>
      </c>
      <c r="GS7" s="197" t="s">
        <v>427</v>
      </c>
      <c r="GT7" s="198" t="s">
        <v>428</v>
      </c>
      <c r="GU7" s="197" t="s">
        <v>429</v>
      </c>
      <c r="GV7" s="197" t="s">
        <v>424</v>
      </c>
      <c r="GW7" s="197" t="s">
        <v>424</v>
      </c>
      <c r="GX7" s="197" t="s">
        <v>425</v>
      </c>
      <c r="GY7" s="197" t="s">
        <v>426</v>
      </c>
      <c r="GZ7" s="197" t="s">
        <v>427</v>
      </c>
      <c r="HA7" s="198" t="s">
        <v>428</v>
      </c>
      <c r="HB7" s="197" t="s">
        <v>429</v>
      </c>
      <c r="HC7" s="197" t="s">
        <v>424</v>
      </c>
      <c r="HD7" s="197" t="s">
        <v>424</v>
      </c>
      <c r="HE7" s="197" t="s">
        <v>425</v>
      </c>
      <c r="HF7" s="197" t="s">
        <v>426</v>
      </c>
      <c r="HG7" s="197" t="s">
        <v>427</v>
      </c>
      <c r="HH7" s="198" t="s">
        <v>428</v>
      </c>
      <c r="HI7" s="197" t="s">
        <v>429</v>
      </c>
      <c r="HJ7" s="197" t="s">
        <v>424</v>
      </c>
    </row>
    <row r="8" spans="1:218" ht="19.95" customHeight="1">
      <c r="A8" s="100"/>
      <c r="B8" s="153"/>
      <c r="C8" s="153"/>
      <c r="D8" s="139"/>
      <c r="E8" s="139"/>
      <c r="F8" s="139"/>
      <c r="G8" s="152"/>
      <c r="H8" s="156">
        <v>1</v>
      </c>
      <c r="I8" s="155">
        <v>2</v>
      </c>
      <c r="J8" s="155">
        <v>3</v>
      </c>
      <c r="K8" s="155">
        <v>4</v>
      </c>
      <c r="L8" s="155">
        <v>5</v>
      </c>
      <c r="M8" s="155">
        <v>6</v>
      </c>
      <c r="N8" s="154">
        <v>7</v>
      </c>
      <c r="O8" s="155">
        <v>8</v>
      </c>
      <c r="P8" s="155">
        <v>9</v>
      </c>
      <c r="Q8" s="155">
        <v>10</v>
      </c>
      <c r="R8" s="155">
        <v>11</v>
      </c>
      <c r="S8" s="155">
        <v>12</v>
      </c>
      <c r="T8" s="155">
        <v>13</v>
      </c>
      <c r="U8" s="154">
        <v>14</v>
      </c>
      <c r="V8" s="154">
        <v>15</v>
      </c>
      <c r="W8" s="154">
        <v>16</v>
      </c>
      <c r="X8" s="154">
        <v>17</v>
      </c>
      <c r="Y8" s="154">
        <v>18</v>
      </c>
      <c r="Z8" s="154">
        <v>19</v>
      </c>
      <c r="AA8" s="154">
        <v>20</v>
      </c>
      <c r="AB8" s="154">
        <v>21</v>
      </c>
      <c r="AC8" s="154">
        <v>22</v>
      </c>
      <c r="AD8" s="154">
        <v>23</v>
      </c>
      <c r="AE8" s="154">
        <v>24</v>
      </c>
      <c r="AF8" s="154">
        <v>25</v>
      </c>
      <c r="AG8" s="154">
        <v>26</v>
      </c>
      <c r="AH8" s="154">
        <v>27</v>
      </c>
      <c r="AI8" s="154">
        <v>28</v>
      </c>
      <c r="AJ8" s="155">
        <v>29</v>
      </c>
      <c r="AK8" s="155">
        <v>30</v>
      </c>
      <c r="AL8" s="155">
        <v>1</v>
      </c>
      <c r="AM8" s="155">
        <v>2</v>
      </c>
      <c r="AN8" s="155">
        <v>3</v>
      </c>
      <c r="AO8" s="155">
        <v>4</v>
      </c>
      <c r="AP8" s="154">
        <v>5</v>
      </c>
      <c r="AQ8" s="155">
        <v>6</v>
      </c>
      <c r="AR8" s="155">
        <v>7</v>
      </c>
      <c r="AS8" s="155">
        <v>8</v>
      </c>
      <c r="AT8" s="155">
        <v>9</v>
      </c>
      <c r="AU8" s="155">
        <v>10</v>
      </c>
      <c r="AV8" s="155">
        <v>11</v>
      </c>
      <c r="AW8" s="154">
        <v>12</v>
      </c>
      <c r="AX8" s="155">
        <v>13</v>
      </c>
      <c r="AY8" s="155">
        <v>14</v>
      </c>
      <c r="AZ8" s="155">
        <v>15</v>
      </c>
      <c r="BA8" s="155">
        <v>16</v>
      </c>
      <c r="BB8" s="155">
        <v>17</v>
      </c>
      <c r="BC8" s="155">
        <v>18</v>
      </c>
      <c r="BD8" s="154">
        <v>19</v>
      </c>
      <c r="BE8" s="155">
        <v>20</v>
      </c>
      <c r="BF8" s="155">
        <v>21</v>
      </c>
      <c r="BG8" s="155">
        <v>22</v>
      </c>
      <c r="BH8" s="155">
        <v>23</v>
      </c>
      <c r="BI8" s="155">
        <v>24</v>
      </c>
      <c r="BJ8" s="155">
        <v>25</v>
      </c>
      <c r="BK8" s="155">
        <v>26</v>
      </c>
      <c r="BL8" s="155">
        <v>27</v>
      </c>
      <c r="BM8" s="155">
        <v>28</v>
      </c>
      <c r="BN8" s="155">
        <v>29</v>
      </c>
      <c r="BO8" s="155">
        <v>30</v>
      </c>
      <c r="BP8" s="155">
        <v>31</v>
      </c>
      <c r="BQ8" s="155">
        <v>1</v>
      </c>
      <c r="BR8" s="155">
        <v>2</v>
      </c>
      <c r="BS8" s="155">
        <v>3</v>
      </c>
      <c r="BT8" s="155">
        <v>4</v>
      </c>
      <c r="BU8" s="155">
        <v>5</v>
      </c>
      <c r="BV8" s="155">
        <v>6</v>
      </c>
      <c r="BW8" s="155">
        <v>7</v>
      </c>
      <c r="BX8" s="155">
        <v>8</v>
      </c>
      <c r="BY8" s="155">
        <v>9</v>
      </c>
      <c r="BZ8" s="155">
        <v>10</v>
      </c>
      <c r="CA8" s="155">
        <v>11</v>
      </c>
      <c r="CB8" s="155">
        <v>12</v>
      </c>
      <c r="CC8" s="155">
        <v>13</v>
      </c>
      <c r="CD8" s="155">
        <v>14</v>
      </c>
      <c r="CE8" s="155">
        <v>15</v>
      </c>
      <c r="CF8" s="155">
        <v>16</v>
      </c>
      <c r="CG8" s="155">
        <v>17</v>
      </c>
      <c r="CH8" s="155">
        <v>18</v>
      </c>
      <c r="CI8" s="155">
        <v>19</v>
      </c>
      <c r="CJ8" s="155">
        <v>20</v>
      </c>
      <c r="CK8" s="155">
        <v>21</v>
      </c>
      <c r="CL8" s="155">
        <v>22</v>
      </c>
      <c r="CM8" s="155">
        <v>23</v>
      </c>
      <c r="CN8" s="155">
        <v>24</v>
      </c>
      <c r="CO8" s="155">
        <v>25</v>
      </c>
      <c r="CP8" s="155">
        <v>26</v>
      </c>
      <c r="CQ8" s="155">
        <v>27</v>
      </c>
      <c r="CR8" s="155">
        <v>28</v>
      </c>
      <c r="CS8" s="155">
        <v>29</v>
      </c>
      <c r="CT8" s="155">
        <v>30</v>
      </c>
      <c r="CU8" s="155">
        <v>31</v>
      </c>
      <c r="CV8" s="155">
        <v>1</v>
      </c>
      <c r="CW8" s="155">
        <v>2</v>
      </c>
      <c r="CX8" s="155">
        <v>3</v>
      </c>
      <c r="CY8" s="155">
        <v>4</v>
      </c>
      <c r="CZ8" s="155">
        <v>5</v>
      </c>
      <c r="DA8" s="155">
        <v>6</v>
      </c>
      <c r="DB8" s="155">
        <v>7</v>
      </c>
      <c r="DC8" s="155">
        <v>8</v>
      </c>
      <c r="DD8" s="155">
        <v>9</v>
      </c>
      <c r="DE8" s="155">
        <v>10</v>
      </c>
      <c r="DF8" s="155">
        <v>11</v>
      </c>
      <c r="DG8" s="155">
        <v>12</v>
      </c>
      <c r="DH8" s="155">
        <v>13</v>
      </c>
      <c r="DI8" s="155">
        <v>14</v>
      </c>
      <c r="DJ8" s="155">
        <v>15</v>
      </c>
      <c r="DK8" s="155">
        <v>16</v>
      </c>
      <c r="DL8" s="155">
        <v>17</v>
      </c>
      <c r="DM8" s="155">
        <v>18</v>
      </c>
      <c r="DN8" s="155">
        <v>19</v>
      </c>
      <c r="DO8" s="155">
        <v>20</v>
      </c>
      <c r="DP8" s="155">
        <v>21</v>
      </c>
      <c r="DQ8" s="155">
        <v>22</v>
      </c>
      <c r="DR8" s="155">
        <v>23</v>
      </c>
      <c r="DS8" s="155">
        <v>24</v>
      </c>
      <c r="DT8" s="155">
        <v>25</v>
      </c>
      <c r="DU8" s="155">
        <v>26</v>
      </c>
      <c r="DV8" s="155">
        <v>27</v>
      </c>
      <c r="DW8" s="155">
        <v>28</v>
      </c>
      <c r="DX8" s="155">
        <v>1</v>
      </c>
      <c r="DY8" s="155">
        <v>2</v>
      </c>
      <c r="DZ8" s="155">
        <v>3</v>
      </c>
      <c r="EA8" s="155">
        <v>4</v>
      </c>
      <c r="EB8" s="155">
        <v>5</v>
      </c>
      <c r="EC8" s="155">
        <v>6</v>
      </c>
      <c r="ED8" s="155">
        <v>7</v>
      </c>
      <c r="EE8" s="155">
        <v>8</v>
      </c>
      <c r="EF8" s="155">
        <v>9</v>
      </c>
      <c r="EG8" s="155">
        <v>10</v>
      </c>
      <c r="EH8" s="155">
        <v>11</v>
      </c>
      <c r="EI8" s="155">
        <v>12</v>
      </c>
      <c r="EJ8" s="155">
        <v>13</v>
      </c>
      <c r="EK8" s="155">
        <v>14</v>
      </c>
      <c r="EL8" s="155">
        <v>15</v>
      </c>
      <c r="EM8" s="155">
        <v>16</v>
      </c>
      <c r="EN8" s="155">
        <v>17</v>
      </c>
      <c r="EO8" s="155">
        <v>18</v>
      </c>
      <c r="EP8" s="155">
        <v>19</v>
      </c>
      <c r="EQ8" s="155">
        <v>20</v>
      </c>
      <c r="ER8" s="155">
        <v>21</v>
      </c>
      <c r="ES8" s="155">
        <v>22</v>
      </c>
      <c r="ET8" s="155">
        <v>23</v>
      </c>
      <c r="EU8" s="155">
        <v>24</v>
      </c>
      <c r="EV8" s="155">
        <v>25</v>
      </c>
      <c r="EW8" s="155">
        <v>26</v>
      </c>
      <c r="EX8" s="155">
        <v>27</v>
      </c>
      <c r="EY8" s="155">
        <v>28</v>
      </c>
      <c r="EZ8" s="155">
        <v>29</v>
      </c>
      <c r="FA8" s="155">
        <v>30</v>
      </c>
      <c r="FB8" s="155">
        <v>31</v>
      </c>
      <c r="FC8" s="155">
        <v>1</v>
      </c>
      <c r="FD8" s="155">
        <v>2</v>
      </c>
      <c r="FE8" s="155">
        <v>3</v>
      </c>
      <c r="FF8" s="155">
        <v>4</v>
      </c>
      <c r="FG8" s="155">
        <v>5</v>
      </c>
      <c r="FH8" s="155">
        <v>6</v>
      </c>
      <c r="FI8" s="155">
        <v>7</v>
      </c>
      <c r="FJ8" s="155">
        <v>8</v>
      </c>
      <c r="FK8" s="155">
        <v>9</v>
      </c>
      <c r="FL8" s="155">
        <v>10</v>
      </c>
      <c r="FM8" s="155">
        <v>11</v>
      </c>
      <c r="FN8" s="155">
        <v>12</v>
      </c>
      <c r="FO8" s="155">
        <v>13</v>
      </c>
      <c r="FP8" s="155">
        <v>14</v>
      </c>
      <c r="FQ8" s="155">
        <v>15</v>
      </c>
      <c r="FR8" s="155">
        <v>16</v>
      </c>
      <c r="FS8" s="155">
        <v>17</v>
      </c>
      <c r="FT8" s="155">
        <v>18</v>
      </c>
      <c r="FU8" s="155">
        <v>19</v>
      </c>
      <c r="FV8" s="155">
        <v>20</v>
      </c>
      <c r="FW8" s="155">
        <v>21</v>
      </c>
      <c r="FX8" s="155">
        <v>22</v>
      </c>
      <c r="FY8" s="155">
        <v>23</v>
      </c>
      <c r="FZ8" s="155">
        <v>24</v>
      </c>
      <c r="GA8" s="155">
        <v>25</v>
      </c>
      <c r="GB8" s="155">
        <v>26</v>
      </c>
      <c r="GC8" s="155">
        <v>27</v>
      </c>
      <c r="GD8" s="155">
        <v>28</v>
      </c>
      <c r="GE8" s="155">
        <v>29</v>
      </c>
      <c r="GF8" s="155">
        <v>30</v>
      </c>
      <c r="GG8" s="155">
        <v>1</v>
      </c>
      <c r="GH8" s="155">
        <v>2</v>
      </c>
      <c r="GI8" s="155">
        <v>3</v>
      </c>
      <c r="GJ8" s="155">
        <v>4</v>
      </c>
      <c r="GK8" s="155">
        <v>5</v>
      </c>
      <c r="GL8" s="155">
        <v>6</v>
      </c>
      <c r="GM8" s="155">
        <v>7</v>
      </c>
      <c r="GN8" s="155">
        <v>8</v>
      </c>
      <c r="GO8" s="155">
        <v>9</v>
      </c>
      <c r="GP8" s="155">
        <v>10</v>
      </c>
      <c r="GQ8" s="155">
        <v>11</v>
      </c>
      <c r="GR8" s="155">
        <v>12</v>
      </c>
      <c r="GS8" s="155">
        <v>13</v>
      </c>
      <c r="GT8" s="155">
        <v>14</v>
      </c>
      <c r="GU8" s="155">
        <v>15</v>
      </c>
      <c r="GV8" s="155">
        <v>16</v>
      </c>
      <c r="GW8" s="155">
        <v>17</v>
      </c>
      <c r="GX8" s="155">
        <v>18</v>
      </c>
      <c r="GY8" s="155">
        <v>19</v>
      </c>
      <c r="GZ8" s="155">
        <v>20</v>
      </c>
      <c r="HA8" s="155">
        <v>21</v>
      </c>
      <c r="HB8" s="155">
        <v>22</v>
      </c>
      <c r="HC8" s="155">
        <v>23</v>
      </c>
      <c r="HD8" s="155">
        <v>24</v>
      </c>
      <c r="HE8" s="155">
        <v>25</v>
      </c>
      <c r="HF8" s="155">
        <v>26</v>
      </c>
      <c r="HG8" s="155">
        <v>27</v>
      </c>
      <c r="HH8" s="155">
        <v>28</v>
      </c>
      <c r="HI8" s="155">
        <v>29</v>
      </c>
      <c r="HJ8" s="155">
        <v>30</v>
      </c>
    </row>
    <row r="9" spans="1:218" ht="40.200000000000003" customHeight="1">
      <c r="A9" s="100"/>
      <c r="B9" s="173" t="s">
        <v>314</v>
      </c>
      <c r="C9" s="174" t="s">
        <v>430</v>
      </c>
      <c r="D9" s="174" t="s">
        <v>315</v>
      </c>
      <c r="E9" s="174" t="s">
        <v>316</v>
      </c>
      <c r="F9" s="174" t="s">
        <v>317</v>
      </c>
      <c r="G9" s="151"/>
      <c r="H9" s="175"/>
      <c r="I9" s="176"/>
      <c r="J9" s="176"/>
      <c r="K9" s="176"/>
      <c r="L9" s="176"/>
      <c r="M9" s="176"/>
      <c r="N9" s="176"/>
      <c r="O9" s="175"/>
      <c r="P9" s="176"/>
      <c r="Q9" s="176"/>
      <c r="R9" s="176"/>
      <c r="S9" s="176"/>
      <c r="T9" s="176"/>
      <c r="U9" s="176"/>
      <c r="V9" s="175"/>
      <c r="W9" s="176"/>
      <c r="X9" s="176"/>
      <c r="Y9" s="176"/>
      <c r="Z9" s="176"/>
      <c r="AA9" s="176"/>
      <c r="AB9" s="176"/>
      <c r="AC9" s="175"/>
      <c r="AD9" s="176"/>
      <c r="AE9" s="176"/>
      <c r="AF9" s="176"/>
      <c r="AG9" s="176"/>
      <c r="AH9" s="176"/>
      <c r="AI9" s="176"/>
      <c r="AJ9" s="175"/>
      <c r="AK9" s="176"/>
      <c r="AL9" s="176"/>
      <c r="AM9" s="176"/>
      <c r="AN9" s="176"/>
      <c r="AO9" s="176"/>
      <c r="AP9" s="176"/>
      <c r="AQ9" s="175"/>
      <c r="AR9" s="176"/>
      <c r="AS9" s="176"/>
      <c r="AT9" s="176"/>
      <c r="AU9" s="176"/>
      <c r="AV9" s="176"/>
      <c r="AW9" s="176"/>
      <c r="AX9" s="175"/>
      <c r="AY9" s="176"/>
      <c r="AZ9" s="176"/>
      <c r="BA9" s="176"/>
      <c r="BB9" s="176"/>
      <c r="BC9" s="176"/>
      <c r="BD9" s="176"/>
      <c r="BE9" s="175"/>
      <c r="BF9" s="176"/>
      <c r="BG9" s="176"/>
      <c r="BH9" s="176"/>
      <c r="BI9" s="176"/>
      <c r="BJ9" s="176"/>
      <c r="BK9" s="176"/>
      <c r="BL9" s="175"/>
      <c r="BM9" s="176"/>
      <c r="BN9" s="176"/>
      <c r="BO9" s="176"/>
      <c r="BP9" s="176"/>
      <c r="BQ9" s="176"/>
      <c r="BR9" s="176"/>
      <c r="BS9" s="175"/>
      <c r="BT9" s="176"/>
      <c r="BU9" s="176"/>
      <c r="BV9" s="176"/>
      <c r="BW9" s="176"/>
      <c r="BX9" s="176"/>
      <c r="BY9" s="176"/>
      <c r="BZ9" s="175"/>
      <c r="CA9" s="176"/>
      <c r="CB9" s="176"/>
      <c r="CC9" s="176"/>
      <c r="CD9" s="176"/>
      <c r="CE9" s="176"/>
      <c r="CF9" s="176"/>
      <c r="CG9" s="175"/>
      <c r="CH9" s="176"/>
      <c r="CI9" s="176"/>
      <c r="CJ9" s="176"/>
      <c r="CK9" s="176"/>
      <c r="CL9" s="176"/>
      <c r="CM9" s="176"/>
      <c r="CN9" s="175"/>
      <c r="CO9" s="176"/>
      <c r="CP9" s="176"/>
      <c r="CQ9" s="176"/>
      <c r="CR9" s="176"/>
      <c r="CS9" s="176"/>
      <c r="CT9" s="176"/>
      <c r="CU9" s="175"/>
      <c r="CV9" s="176"/>
      <c r="CW9" s="176"/>
      <c r="CX9" s="176"/>
      <c r="CY9" s="176"/>
      <c r="CZ9" s="176"/>
      <c r="DA9" s="176"/>
      <c r="DB9" s="175"/>
      <c r="DC9" s="176"/>
      <c r="DD9" s="176"/>
      <c r="DE9" s="176"/>
      <c r="DF9" s="176"/>
      <c r="DG9" s="176"/>
      <c r="DH9" s="176"/>
      <c r="DI9" s="175"/>
      <c r="DJ9" s="176"/>
      <c r="DK9" s="176"/>
      <c r="DL9" s="176"/>
      <c r="DM9" s="176"/>
      <c r="DN9" s="176"/>
      <c r="DO9" s="176"/>
      <c r="DP9" s="175"/>
      <c r="DQ9" s="176"/>
      <c r="DR9" s="176"/>
      <c r="DS9" s="176"/>
      <c r="DT9" s="176"/>
      <c r="DU9" s="176"/>
      <c r="DV9" s="176"/>
      <c r="DW9" s="175"/>
      <c r="DX9" s="176"/>
      <c r="DY9" s="176"/>
      <c r="DZ9" s="176"/>
      <c r="EA9" s="176"/>
      <c r="EB9" s="176"/>
      <c r="EC9" s="176"/>
      <c r="ED9" s="175"/>
      <c r="EE9" s="176"/>
      <c r="EF9" s="176"/>
      <c r="EG9" s="176"/>
      <c r="EH9" s="176"/>
      <c r="EI9" s="176"/>
      <c r="EJ9" s="176"/>
      <c r="EK9" s="175"/>
      <c r="EL9" s="176"/>
      <c r="EM9" s="176"/>
      <c r="EN9" s="176"/>
      <c r="EO9" s="176"/>
      <c r="EP9" s="176"/>
      <c r="EQ9" s="176"/>
      <c r="ER9" s="175"/>
      <c r="ES9" s="176"/>
      <c r="ET9" s="176"/>
      <c r="EU9" s="176"/>
      <c r="EV9" s="176"/>
      <c r="EW9" s="176"/>
      <c r="EX9" s="176"/>
      <c r="EY9" s="175"/>
      <c r="EZ9" s="176"/>
      <c r="FA9" s="176"/>
      <c r="FB9" s="176"/>
      <c r="FC9" s="176"/>
      <c r="FD9" s="176"/>
      <c r="FE9" s="176"/>
      <c r="FF9" s="175"/>
      <c r="FG9" s="176"/>
      <c r="FH9" s="176"/>
      <c r="FI9" s="176"/>
      <c r="FJ9" s="176"/>
      <c r="FK9" s="176"/>
      <c r="FL9" s="176"/>
      <c r="FM9" s="175"/>
      <c r="FN9" s="176"/>
      <c r="FO9" s="176"/>
      <c r="FP9" s="176"/>
      <c r="FQ9" s="176"/>
      <c r="FR9" s="176"/>
      <c r="FS9" s="176"/>
      <c r="FT9" s="175"/>
      <c r="FU9" s="176"/>
      <c r="FV9" s="176"/>
      <c r="FW9" s="176"/>
      <c r="FX9" s="176"/>
      <c r="FY9" s="176"/>
      <c r="FZ9" s="176"/>
      <c r="GA9" s="175"/>
      <c r="GB9" s="176"/>
      <c r="GC9" s="176"/>
      <c r="GD9" s="176"/>
      <c r="GE9" s="176"/>
      <c r="GF9" s="176"/>
      <c r="GG9" s="176"/>
      <c r="GH9" s="175"/>
      <c r="GI9" s="176"/>
      <c r="GJ9" s="176"/>
      <c r="GK9" s="176"/>
      <c r="GL9" s="176"/>
      <c r="GM9" s="176"/>
      <c r="GN9" s="176"/>
      <c r="GO9" s="175"/>
      <c r="GP9" s="176"/>
      <c r="GQ9" s="176"/>
      <c r="GR9" s="176"/>
      <c r="GS9" s="176"/>
      <c r="GT9" s="176"/>
      <c r="GU9" s="176"/>
      <c r="GV9" s="175"/>
      <c r="GW9" s="176"/>
      <c r="GX9" s="176"/>
      <c r="GY9" s="176"/>
      <c r="GZ9" s="176"/>
      <c r="HA9" s="176"/>
      <c r="HB9" s="176"/>
      <c r="HC9" s="175"/>
      <c r="HD9" s="176"/>
      <c r="HE9" s="176"/>
      <c r="HF9" s="176"/>
      <c r="HG9" s="176"/>
      <c r="HH9" s="176"/>
      <c r="HI9" s="176"/>
      <c r="HJ9" s="175"/>
    </row>
    <row r="10" spans="1:218" ht="30" hidden="1" customHeight="1" thickBot="1">
      <c r="B10" s="150"/>
      <c r="C10" s="149"/>
      <c r="D10" s="149"/>
      <c r="E10" s="148"/>
      <c r="F10" s="147"/>
      <c r="H10" s="146"/>
      <c r="I10" s="146"/>
      <c r="J10" s="146"/>
      <c r="K10" s="255"/>
      <c r="L10" s="255"/>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6"/>
      <c r="CC10" s="146"/>
      <c r="CD10" s="146"/>
      <c r="CE10" s="146"/>
      <c r="CF10" s="146"/>
      <c r="CG10" s="146"/>
      <c r="CH10" s="146"/>
      <c r="CI10" s="146"/>
      <c r="CJ10" s="146"/>
      <c r="CK10" s="146"/>
      <c r="CL10" s="146"/>
      <c r="CM10" s="146"/>
      <c r="CN10" s="146"/>
      <c r="CO10" s="146"/>
      <c r="CP10" s="146"/>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c r="ER10" s="146"/>
      <c r="ES10" s="146"/>
      <c r="ET10" s="146"/>
      <c r="EU10" s="146"/>
      <c r="EV10" s="146"/>
      <c r="EW10" s="146"/>
      <c r="EX10" s="146"/>
      <c r="EY10" s="146"/>
      <c r="EZ10" s="146"/>
      <c r="FA10" s="146"/>
      <c r="FB10" s="146"/>
      <c r="FC10" s="146"/>
      <c r="FD10" s="146"/>
      <c r="FE10" s="146"/>
      <c r="FF10" s="146"/>
      <c r="FG10" s="146"/>
      <c r="FH10" s="146"/>
      <c r="FI10" s="146"/>
      <c r="FJ10" s="146"/>
      <c r="FK10" s="146"/>
      <c r="FL10" s="146"/>
      <c r="FM10" s="146"/>
      <c r="FN10" s="146"/>
      <c r="FO10" s="146"/>
      <c r="FP10" s="146"/>
      <c r="FQ10" s="146"/>
      <c r="FR10" s="146"/>
      <c r="FS10" s="146"/>
      <c r="FT10" s="146"/>
      <c r="FU10" s="146"/>
      <c r="FV10" s="146"/>
      <c r="FW10" s="146"/>
      <c r="FX10" s="146"/>
      <c r="FY10" s="146"/>
      <c r="FZ10" s="146"/>
      <c r="GA10" s="146"/>
      <c r="GB10" s="146"/>
      <c r="GC10" s="146"/>
      <c r="GD10" s="146"/>
      <c r="GE10" s="146"/>
      <c r="GF10" s="146"/>
      <c r="GG10" s="146"/>
      <c r="GH10" s="146"/>
      <c r="GI10" s="146"/>
      <c r="GJ10" s="146"/>
      <c r="GK10" s="146"/>
      <c r="GL10" s="146"/>
      <c r="GM10" s="146"/>
      <c r="GN10" s="146"/>
      <c r="GO10" s="146"/>
      <c r="GP10" s="146"/>
      <c r="GQ10" s="146"/>
      <c r="GR10" s="146"/>
      <c r="GS10" s="146"/>
      <c r="GT10" s="146"/>
      <c r="GU10" s="146"/>
      <c r="GV10" s="146"/>
      <c r="GW10" s="146"/>
      <c r="GX10" s="146"/>
      <c r="GY10" s="146"/>
      <c r="GZ10" s="146"/>
      <c r="HA10" s="146"/>
      <c r="HB10" s="146"/>
      <c r="HC10" s="146"/>
      <c r="HD10" s="146"/>
      <c r="HE10" s="146"/>
      <c r="HF10" s="146"/>
      <c r="HG10" s="146"/>
      <c r="HH10" s="146"/>
      <c r="HI10" s="146"/>
    </row>
    <row r="11" spans="1:218" s="178" customFormat="1" ht="40.200000000000003" customHeight="1">
      <c r="A11" s="100"/>
      <c r="B11" s="145" t="s">
        <v>431</v>
      </c>
      <c r="C11" s="136" t="s">
        <v>432</v>
      </c>
      <c r="D11" s="181">
        <v>0.25</v>
      </c>
      <c r="E11" s="180">
        <v>45962</v>
      </c>
      <c r="F11" s="179">
        <v>250</v>
      </c>
      <c r="G11" s="136"/>
      <c r="H11" s="256" t="str">
        <f>IF(AND($C11="Goal",H$8&gt;=$E11,H$8&lt;=$E11+$F11-1),2,IF(AND($C11="Milestone",H$8&gt;=$E11,H$8&lt;=$E11+$F11-1),1,""))</f>
        <v/>
      </c>
      <c r="I11" s="256" t="str">
        <f>IF(AND($C11="Goal",I$8&gt;=$E11,I$8&lt;=$E11+$F11-1),2,IF(AND($C11="Advisory",I$8&gt;=$E11,I$8&lt;=$E11+$F11-1),1,""))</f>
        <v/>
      </c>
      <c r="J11" s="256" t="str">
        <f t="shared" ref="J11:S16" si="0">IF(AND($C11="Goal",J$8&gt;=$E11,J$8&lt;=$E11+$F11-1),2,IF(AND($C11="Milestone",J$8&gt;=$E11,J$8&lt;=$E11+$F11-1),1,""))</f>
        <v/>
      </c>
      <c r="K11" s="256" t="str">
        <f t="shared" si="0"/>
        <v/>
      </c>
      <c r="L11" s="256" t="str">
        <f t="shared" si="0"/>
        <v/>
      </c>
      <c r="M11" s="256" t="str">
        <f t="shared" si="0"/>
        <v/>
      </c>
      <c r="N11" s="256" t="str">
        <f t="shared" si="0"/>
        <v/>
      </c>
      <c r="O11" s="256" t="str">
        <f t="shared" si="0"/>
        <v/>
      </c>
      <c r="P11" s="256" t="str">
        <f t="shared" si="0"/>
        <v/>
      </c>
      <c r="Q11" s="256" t="str">
        <f t="shared" si="0"/>
        <v/>
      </c>
      <c r="R11" s="256" t="str">
        <f t="shared" si="0"/>
        <v/>
      </c>
      <c r="S11" s="256" t="str">
        <f t="shared" si="0"/>
        <v/>
      </c>
      <c r="T11" s="256" t="str">
        <f t="shared" ref="T11:AC16" si="1">IF(AND($C11="Goal",T$8&gt;=$E11,T$8&lt;=$E11+$F11-1),2,IF(AND($C11="Milestone",T$8&gt;=$E11,T$8&lt;=$E11+$F11-1),1,""))</f>
        <v/>
      </c>
      <c r="U11" s="256" t="str">
        <f t="shared" si="1"/>
        <v/>
      </c>
      <c r="V11" s="256" t="str">
        <f t="shared" si="1"/>
        <v/>
      </c>
      <c r="W11" s="256" t="str">
        <f t="shared" si="1"/>
        <v/>
      </c>
      <c r="X11" s="256" t="str">
        <f t="shared" si="1"/>
        <v/>
      </c>
      <c r="Y11" s="256" t="str">
        <f t="shared" si="1"/>
        <v/>
      </c>
      <c r="Z11" s="256"/>
      <c r="AA11" s="256" t="str">
        <f t="shared" si="1"/>
        <v/>
      </c>
      <c r="AB11" s="256" t="str">
        <f t="shared" si="1"/>
        <v/>
      </c>
      <c r="AC11" s="256" t="str">
        <f t="shared" si="1"/>
        <v/>
      </c>
      <c r="AD11" s="256" t="str">
        <f t="shared" ref="AD11:AM16" si="2">IF(AND($C11="Goal",AD$8&gt;=$E11,AD$8&lt;=$E11+$F11-1),2,IF(AND($C11="Milestone",AD$8&gt;=$E11,AD$8&lt;=$E11+$F11-1),1,""))</f>
        <v/>
      </c>
      <c r="AE11" s="256" t="str">
        <f t="shared" si="2"/>
        <v/>
      </c>
      <c r="AF11" s="256" t="str">
        <f t="shared" si="2"/>
        <v/>
      </c>
      <c r="AG11" s="256" t="str">
        <f t="shared" si="2"/>
        <v/>
      </c>
      <c r="AH11" s="256" t="str">
        <f t="shared" si="2"/>
        <v/>
      </c>
      <c r="AI11" s="256" t="str">
        <f t="shared" si="2"/>
        <v/>
      </c>
      <c r="AJ11" s="256" t="str">
        <f t="shared" si="2"/>
        <v/>
      </c>
      <c r="AK11" s="256" t="str">
        <f t="shared" si="2"/>
        <v/>
      </c>
      <c r="AL11" s="256" t="str">
        <f t="shared" si="2"/>
        <v/>
      </c>
      <c r="AM11" s="256" t="str">
        <f t="shared" si="2"/>
        <v/>
      </c>
      <c r="AN11" s="256" t="str">
        <f t="shared" ref="AN11:AW16" si="3">IF(AND($C11="Goal",AN$8&gt;=$E11,AN$8&lt;=$E11+$F11-1),2,IF(AND($C11="Milestone",AN$8&gt;=$E11,AN$8&lt;=$E11+$F11-1),1,""))</f>
        <v/>
      </c>
      <c r="AO11" s="256" t="str">
        <f t="shared" si="3"/>
        <v/>
      </c>
      <c r="AP11" s="256" t="str">
        <f t="shared" si="3"/>
        <v/>
      </c>
      <c r="AQ11" s="256" t="str">
        <f t="shared" si="3"/>
        <v/>
      </c>
      <c r="AR11" s="256" t="str">
        <f t="shared" si="3"/>
        <v/>
      </c>
      <c r="AS11" s="256" t="str">
        <f t="shared" si="3"/>
        <v/>
      </c>
      <c r="AT11" s="256" t="str">
        <f t="shared" si="3"/>
        <v/>
      </c>
      <c r="AU11" s="256" t="str">
        <f t="shared" si="3"/>
        <v/>
      </c>
      <c r="AV11" s="256" t="str">
        <f t="shared" si="3"/>
        <v/>
      </c>
      <c r="AW11" s="256" t="str">
        <f t="shared" si="3"/>
        <v/>
      </c>
      <c r="AX11" s="256" t="str">
        <f t="shared" ref="AX11:BM16" si="4">IF(AND($C11="Goal",AX$8&gt;=$E11,AX$8&lt;=$E11+$F11-1),2,IF(AND($C11="Milestone",AX$8&gt;=$E11,AX$8&lt;=$E11+$F11-1),1,""))</f>
        <v/>
      </c>
      <c r="AY11" s="256" t="str">
        <f t="shared" si="4"/>
        <v/>
      </c>
      <c r="AZ11" s="256" t="str">
        <f t="shared" si="4"/>
        <v/>
      </c>
      <c r="BA11" s="256" t="str">
        <f t="shared" si="4"/>
        <v/>
      </c>
      <c r="BB11" s="256" t="str">
        <f t="shared" si="4"/>
        <v/>
      </c>
      <c r="BC11" s="256" t="str">
        <f t="shared" si="4"/>
        <v/>
      </c>
      <c r="BD11" s="256" t="str">
        <f t="shared" si="4"/>
        <v/>
      </c>
      <c r="BE11" s="256" t="str">
        <f t="shared" si="4"/>
        <v/>
      </c>
      <c r="BF11" s="256" t="str">
        <f t="shared" si="4"/>
        <v/>
      </c>
      <c r="BG11" s="256" t="str">
        <f t="shared" si="4"/>
        <v/>
      </c>
      <c r="BH11" s="256" t="str">
        <f t="shared" si="4"/>
        <v/>
      </c>
      <c r="BI11" s="256" t="str">
        <f t="shared" si="4"/>
        <v/>
      </c>
      <c r="BJ11" s="256" t="str">
        <f t="shared" si="4"/>
        <v/>
      </c>
      <c r="BK11" s="256" t="str">
        <f t="shared" si="4"/>
        <v/>
      </c>
      <c r="BL11" s="256" t="str">
        <f t="shared" si="4"/>
        <v/>
      </c>
      <c r="BM11" s="256" t="str">
        <f t="shared" si="4"/>
        <v/>
      </c>
      <c r="BN11" s="256" t="str">
        <f t="shared" ref="BN11:DY14" si="5">IF(AND($C11="Goal",BN$8&gt;=$E11,BN$8&lt;=$E11+$F11-1),2,IF(AND($C11="Milestone",BN$8&gt;=$E11,BN$8&lt;=$E11+$F11-1),1,""))</f>
        <v/>
      </c>
      <c r="BO11" s="256" t="str">
        <f t="shared" si="5"/>
        <v/>
      </c>
      <c r="BP11" s="256" t="str">
        <f t="shared" si="5"/>
        <v/>
      </c>
      <c r="BQ11" s="256" t="str">
        <f t="shared" si="5"/>
        <v/>
      </c>
      <c r="BR11" s="256" t="str">
        <f t="shared" si="5"/>
        <v/>
      </c>
      <c r="BS11" s="256" t="str">
        <f t="shared" si="5"/>
        <v/>
      </c>
      <c r="BT11" s="256" t="str">
        <f t="shared" si="5"/>
        <v/>
      </c>
      <c r="BU11" s="256" t="str">
        <f t="shared" si="5"/>
        <v/>
      </c>
      <c r="BV11" s="256" t="str">
        <f t="shared" si="5"/>
        <v/>
      </c>
      <c r="BW11" s="256" t="str">
        <f t="shared" si="5"/>
        <v/>
      </c>
      <c r="BX11" s="256" t="str">
        <f t="shared" si="5"/>
        <v/>
      </c>
      <c r="BY11" s="256" t="str">
        <f t="shared" si="5"/>
        <v/>
      </c>
      <c r="BZ11" s="256" t="str">
        <f t="shared" si="5"/>
        <v/>
      </c>
      <c r="CA11" s="256" t="str">
        <f t="shared" si="5"/>
        <v/>
      </c>
      <c r="CB11" s="256" t="str">
        <f t="shared" si="5"/>
        <v/>
      </c>
      <c r="CC11" s="256" t="str">
        <f t="shared" si="5"/>
        <v/>
      </c>
      <c r="CD11" s="256" t="str">
        <f t="shared" si="5"/>
        <v/>
      </c>
      <c r="CE11" s="256" t="str">
        <f t="shared" si="5"/>
        <v/>
      </c>
      <c r="CF11" s="256" t="str">
        <f t="shared" si="5"/>
        <v/>
      </c>
      <c r="CG11" s="256" t="str">
        <f t="shared" si="5"/>
        <v/>
      </c>
      <c r="CH11" s="256" t="str">
        <f t="shared" si="5"/>
        <v/>
      </c>
      <c r="CI11" s="256" t="str">
        <f t="shared" si="5"/>
        <v/>
      </c>
      <c r="CJ11" s="256" t="str">
        <f t="shared" si="5"/>
        <v/>
      </c>
      <c r="CK11" s="256" t="str">
        <f t="shared" si="5"/>
        <v/>
      </c>
      <c r="CL11" s="256" t="str">
        <f t="shared" si="5"/>
        <v/>
      </c>
      <c r="CM11" s="256" t="str">
        <f t="shared" si="5"/>
        <v/>
      </c>
      <c r="CN11" s="256" t="str">
        <f t="shared" si="5"/>
        <v/>
      </c>
      <c r="CO11" s="256" t="str">
        <f t="shared" si="5"/>
        <v/>
      </c>
      <c r="CP11" s="256" t="str">
        <f t="shared" si="5"/>
        <v/>
      </c>
      <c r="CQ11" s="256" t="str">
        <f t="shared" si="5"/>
        <v/>
      </c>
      <c r="CR11" s="256" t="str">
        <f t="shared" si="5"/>
        <v/>
      </c>
      <c r="CS11" s="256" t="str">
        <f t="shared" si="5"/>
        <v/>
      </c>
      <c r="CT11" s="256" t="str">
        <f t="shared" si="5"/>
        <v/>
      </c>
      <c r="CU11" s="256" t="str">
        <f t="shared" si="5"/>
        <v/>
      </c>
      <c r="CV11" s="256" t="str">
        <f t="shared" si="5"/>
        <v/>
      </c>
      <c r="CW11" s="256" t="str">
        <f t="shared" si="5"/>
        <v/>
      </c>
      <c r="CX11" s="256" t="str">
        <f t="shared" si="5"/>
        <v/>
      </c>
      <c r="CY11" s="256" t="str">
        <f t="shared" si="5"/>
        <v/>
      </c>
      <c r="CZ11" s="256" t="str">
        <f t="shared" si="5"/>
        <v/>
      </c>
      <c r="DA11" s="256" t="str">
        <f t="shared" si="5"/>
        <v/>
      </c>
      <c r="DB11" s="256" t="str">
        <f t="shared" si="5"/>
        <v/>
      </c>
      <c r="DC11" s="256" t="str">
        <f t="shared" si="5"/>
        <v/>
      </c>
      <c r="DD11" s="256" t="str">
        <f t="shared" si="5"/>
        <v/>
      </c>
      <c r="DE11" s="256" t="str">
        <f t="shared" si="5"/>
        <v/>
      </c>
      <c r="DF11" s="256" t="str">
        <f t="shared" si="5"/>
        <v/>
      </c>
      <c r="DG11" s="256" t="str">
        <f t="shared" si="5"/>
        <v/>
      </c>
      <c r="DH11" s="256" t="str">
        <f t="shared" si="5"/>
        <v/>
      </c>
      <c r="DI11" s="256" t="str">
        <f t="shared" si="5"/>
        <v/>
      </c>
      <c r="DJ11" s="256" t="str">
        <f t="shared" si="5"/>
        <v/>
      </c>
      <c r="DK11" s="256" t="str">
        <f t="shared" si="5"/>
        <v/>
      </c>
      <c r="DL11" s="256" t="str">
        <f t="shared" si="5"/>
        <v/>
      </c>
      <c r="DM11" s="256" t="str">
        <f t="shared" si="5"/>
        <v/>
      </c>
      <c r="DN11" s="256" t="str">
        <f t="shared" si="5"/>
        <v/>
      </c>
      <c r="DO11" s="256" t="str">
        <f t="shared" si="5"/>
        <v/>
      </c>
      <c r="DP11" s="256" t="str">
        <f t="shared" si="5"/>
        <v/>
      </c>
      <c r="DQ11" s="256" t="str">
        <f t="shared" si="5"/>
        <v/>
      </c>
      <c r="DR11" s="256" t="str">
        <f t="shared" si="5"/>
        <v/>
      </c>
      <c r="DS11" s="256" t="str">
        <f t="shared" si="5"/>
        <v/>
      </c>
      <c r="DT11" s="256" t="str">
        <f t="shared" si="5"/>
        <v/>
      </c>
      <c r="DU11" s="256" t="str">
        <f t="shared" si="5"/>
        <v/>
      </c>
      <c r="DV11" s="256" t="str">
        <f t="shared" si="5"/>
        <v/>
      </c>
      <c r="DW11" s="256" t="str">
        <f t="shared" si="5"/>
        <v/>
      </c>
      <c r="DX11" s="256" t="str">
        <f t="shared" si="5"/>
        <v/>
      </c>
      <c r="DY11" s="256" t="str">
        <f t="shared" si="5"/>
        <v/>
      </c>
      <c r="DZ11" s="256" t="str">
        <f t="shared" ref="DZ11:GK14" si="6">IF(AND($C11="Goal",DZ$8&gt;=$E11,DZ$8&lt;=$E11+$F11-1),2,IF(AND($C11="Milestone",DZ$8&gt;=$E11,DZ$8&lt;=$E11+$F11-1),1,""))</f>
        <v/>
      </c>
      <c r="EA11" s="256" t="str">
        <f t="shared" si="6"/>
        <v/>
      </c>
      <c r="EB11" s="256" t="str">
        <f t="shared" si="6"/>
        <v/>
      </c>
      <c r="EC11" s="256" t="str">
        <f t="shared" si="6"/>
        <v/>
      </c>
      <c r="ED11" s="256" t="str">
        <f t="shared" si="6"/>
        <v/>
      </c>
      <c r="EE11" s="256" t="str">
        <f t="shared" si="6"/>
        <v/>
      </c>
      <c r="EF11" s="256" t="str">
        <f t="shared" si="6"/>
        <v/>
      </c>
      <c r="EG11" s="256" t="str">
        <f t="shared" si="6"/>
        <v/>
      </c>
      <c r="EH11" s="256" t="str">
        <f t="shared" si="6"/>
        <v/>
      </c>
      <c r="EI11" s="256" t="str">
        <f t="shared" si="6"/>
        <v/>
      </c>
      <c r="EJ11" s="256" t="str">
        <f t="shared" si="6"/>
        <v/>
      </c>
      <c r="EK11" s="256" t="str">
        <f t="shared" si="6"/>
        <v/>
      </c>
      <c r="EL11" s="256" t="str">
        <f t="shared" si="6"/>
        <v/>
      </c>
      <c r="EM11" s="256" t="str">
        <f t="shared" si="6"/>
        <v/>
      </c>
      <c r="EN11" s="256" t="str">
        <f t="shared" si="6"/>
        <v/>
      </c>
      <c r="EO11" s="256" t="str">
        <f t="shared" si="6"/>
        <v/>
      </c>
      <c r="EP11" s="256" t="str">
        <f t="shared" si="6"/>
        <v/>
      </c>
      <c r="EQ11" s="256" t="str">
        <f t="shared" si="6"/>
        <v/>
      </c>
      <c r="ER11" s="256" t="str">
        <f t="shared" si="6"/>
        <v/>
      </c>
      <c r="ES11" s="256" t="str">
        <f t="shared" si="6"/>
        <v/>
      </c>
      <c r="ET11" s="256" t="str">
        <f t="shared" si="6"/>
        <v/>
      </c>
      <c r="EU11" s="256" t="str">
        <f t="shared" si="6"/>
        <v/>
      </c>
      <c r="EV11" s="256" t="str">
        <f t="shared" si="6"/>
        <v/>
      </c>
      <c r="EW11" s="256" t="str">
        <f t="shared" si="6"/>
        <v/>
      </c>
      <c r="EX11" s="256" t="str">
        <f t="shared" si="6"/>
        <v/>
      </c>
      <c r="EY11" s="256" t="str">
        <f t="shared" si="6"/>
        <v/>
      </c>
      <c r="EZ11" s="256" t="str">
        <f t="shared" si="6"/>
        <v/>
      </c>
      <c r="FA11" s="256" t="str">
        <f t="shared" si="6"/>
        <v/>
      </c>
      <c r="FB11" s="256" t="str">
        <f t="shared" ref="FB11:FC16" si="7">IF(AND($C11="Goal",FB$8&gt;=$E11,FB$8&lt;=$E11+$F11-1),2,IF(AND($C11="Milestone",FB$8&gt;=$E11,FB$8&lt;=$E11+$F11-1),1,""))</f>
        <v/>
      </c>
      <c r="FC11" s="256" t="str">
        <f t="shared" si="7"/>
        <v/>
      </c>
      <c r="FD11" s="256" t="str">
        <f t="shared" si="6"/>
        <v/>
      </c>
      <c r="FE11" s="256" t="str">
        <f t="shared" si="6"/>
        <v/>
      </c>
      <c r="FF11" s="256" t="str">
        <f t="shared" si="6"/>
        <v/>
      </c>
      <c r="FG11" s="256" t="str">
        <f t="shared" si="6"/>
        <v/>
      </c>
      <c r="FH11" s="256" t="str">
        <f t="shared" si="6"/>
        <v/>
      </c>
      <c r="FI11" s="256" t="str">
        <f t="shared" si="6"/>
        <v/>
      </c>
      <c r="FJ11" s="256" t="str">
        <f t="shared" si="6"/>
        <v/>
      </c>
      <c r="FK11" s="256" t="str">
        <f t="shared" si="6"/>
        <v/>
      </c>
      <c r="FL11" s="256" t="str">
        <f t="shared" si="6"/>
        <v/>
      </c>
      <c r="FM11" s="256" t="str">
        <f t="shared" si="6"/>
        <v/>
      </c>
      <c r="FN11" s="256" t="str">
        <f t="shared" si="6"/>
        <v/>
      </c>
      <c r="FO11" s="256" t="str">
        <f t="shared" si="6"/>
        <v/>
      </c>
      <c r="FP11" s="256" t="str">
        <f t="shared" si="6"/>
        <v/>
      </c>
      <c r="FQ11" s="256" t="str">
        <f t="shared" si="6"/>
        <v/>
      </c>
      <c r="FR11" s="256" t="str">
        <f t="shared" si="6"/>
        <v/>
      </c>
      <c r="FS11" s="256" t="str">
        <f t="shared" si="6"/>
        <v/>
      </c>
      <c r="FT11" s="256" t="str">
        <f t="shared" si="6"/>
        <v/>
      </c>
      <c r="FU11" s="256" t="str">
        <f t="shared" si="6"/>
        <v/>
      </c>
      <c r="FV11" s="256" t="str">
        <f t="shared" si="6"/>
        <v/>
      </c>
      <c r="FW11" s="256" t="str">
        <f t="shared" si="6"/>
        <v/>
      </c>
      <c r="FX11" s="256" t="str">
        <f t="shared" si="6"/>
        <v/>
      </c>
      <c r="FY11" s="256" t="str">
        <f t="shared" si="6"/>
        <v/>
      </c>
      <c r="FZ11" s="256" t="str">
        <f t="shared" si="6"/>
        <v/>
      </c>
      <c r="GA11" s="256" t="str">
        <f t="shared" si="6"/>
        <v/>
      </c>
      <c r="GB11" s="256" t="str">
        <f t="shared" si="6"/>
        <v/>
      </c>
      <c r="GC11" s="256" t="str">
        <f t="shared" si="6"/>
        <v/>
      </c>
      <c r="GD11" s="256" t="str">
        <f t="shared" si="6"/>
        <v/>
      </c>
      <c r="GE11" s="256" t="str">
        <f t="shared" si="6"/>
        <v/>
      </c>
      <c r="GF11" s="256" t="str">
        <f t="shared" si="6"/>
        <v/>
      </c>
      <c r="GG11" s="256" t="str">
        <f t="shared" si="6"/>
        <v/>
      </c>
      <c r="GH11" s="256" t="str">
        <f t="shared" si="6"/>
        <v/>
      </c>
      <c r="GI11" s="256" t="str">
        <f t="shared" si="6"/>
        <v/>
      </c>
      <c r="GJ11" s="256" t="str">
        <f t="shared" si="6"/>
        <v/>
      </c>
      <c r="GK11" s="256" t="str">
        <f t="shared" si="6"/>
        <v/>
      </c>
      <c r="GL11" s="256" t="str">
        <f t="shared" ref="GL11:HF13" si="8">IF(AND($C11="Goal",GL$8&gt;=$E11,GL$8&lt;=$E11+$F11-1),2,IF(AND($C11="Milestone",GL$8&gt;=$E11,GL$8&lt;=$E11+$F11-1),1,""))</f>
        <v/>
      </c>
      <c r="GM11" s="256" t="str">
        <f t="shared" si="8"/>
        <v/>
      </c>
      <c r="GN11" s="256" t="str">
        <f t="shared" si="8"/>
        <v/>
      </c>
      <c r="GO11" s="256" t="str">
        <f t="shared" si="8"/>
        <v/>
      </c>
      <c r="GP11" s="256" t="str">
        <f t="shared" si="8"/>
        <v/>
      </c>
      <c r="GQ11" s="256" t="str">
        <f t="shared" si="8"/>
        <v/>
      </c>
      <c r="GR11" s="256" t="str">
        <f t="shared" si="8"/>
        <v/>
      </c>
      <c r="GS11" s="256" t="str">
        <f t="shared" si="8"/>
        <v/>
      </c>
      <c r="GT11" s="256" t="str">
        <f t="shared" si="8"/>
        <v/>
      </c>
      <c r="GU11" s="256" t="str">
        <f t="shared" si="8"/>
        <v/>
      </c>
      <c r="GV11" s="256" t="str">
        <f t="shared" si="8"/>
        <v/>
      </c>
      <c r="GW11" s="256" t="str">
        <f t="shared" si="8"/>
        <v/>
      </c>
      <c r="GX11" s="256" t="str">
        <f t="shared" si="8"/>
        <v/>
      </c>
      <c r="GY11" s="256" t="str">
        <f t="shared" si="8"/>
        <v/>
      </c>
      <c r="GZ11" s="256" t="str">
        <f t="shared" si="8"/>
        <v/>
      </c>
      <c r="HA11" s="256" t="str">
        <f t="shared" si="8"/>
        <v/>
      </c>
      <c r="HB11" s="256" t="str">
        <f t="shared" si="8"/>
        <v/>
      </c>
      <c r="HC11" s="256" t="str">
        <f t="shared" si="8"/>
        <v/>
      </c>
      <c r="HD11" s="256" t="str">
        <f t="shared" si="8"/>
        <v/>
      </c>
      <c r="HE11" s="256" t="str">
        <f t="shared" si="8"/>
        <v/>
      </c>
      <c r="HF11" s="256" t="str">
        <f t="shared" si="8"/>
        <v/>
      </c>
      <c r="HG11" s="256" t="str">
        <f t="shared" ref="HF11:HJ13" si="9">IF(AND($C11="Goal",HG$8&gt;=$E11,HG$8&lt;=$E11+$F11-1),2,IF(AND($C11="Milestone",HG$8&gt;=$E11,HG$8&lt;=$E11+$F11-1),1,""))</f>
        <v/>
      </c>
      <c r="HH11" s="256" t="str">
        <f t="shared" si="9"/>
        <v/>
      </c>
      <c r="HI11" s="256" t="str">
        <f t="shared" si="9"/>
        <v/>
      </c>
      <c r="HJ11" s="256" t="str">
        <f t="shared" si="9"/>
        <v/>
      </c>
    </row>
    <row r="12" spans="1:218" s="134" customFormat="1" ht="40.200000000000003" customHeight="1">
      <c r="A12" s="90"/>
      <c r="B12" s="257" t="s">
        <v>91</v>
      </c>
      <c r="C12" s="136" t="s">
        <v>432</v>
      </c>
      <c r="D12" s="144">
        <v>0.5</v>
      </c>
      <c r="E12" s="143">
        <v>45962</v>
      </c>
      <c r="F12" s="142">
        <v>20</v>
      </c>
      <c r="G12" s="136"/>
      <c r="H12" s="141" t="str">
        <f t="shared" ref="H12:H16" si="10">IF(AND($C12="Goal",H$8&gt;=$E12,H$8&lt;=$E12+$F12-1),2,IF(AND($C12="Milestone",H$8&gt;=$E12,H$8&lt;=$E12+$F12-1),1,""))</f>
        <v/>
      </c>
      <c r="I12" s="141" t="str">
        <f>IF(AND($C12="Goal",I$8&gt;=$E12,I$8&lt;=$E12+$F12-1),2,IF(AND($C12="Milestone",I$8&gt;=$E12,I$8&lt;=$E12+$F12-1),1,""))</f>
        <v/>
      </c>
      <c r="J12" s="141" t="str">
        <f t="shared" si="0"/>
        <v/>
      </c>
      <c r="K12" s="256" t="str">
        <f t="shared" si="0"/>
        <v/>
      </c>
      <c r="L12" s="256" t="str">
        <f t="shared" si="0"/>
        <v/>
      </c>
      <c r="M12" s="141" t="str">
        <f t="shared" si="0"/>
        <v/>
      </c>
      <c r="N12" s="141" t="str">
        <f t="shared" si="0"/>
        <v/>
      </c>
      <c r="O12" s="141" t="str">
        <f t="shared" si="0"/>
        <v/>
      </c>
      <c r="P12" s="141" t="str">
        <f t="shared" si="0"/>
        <v/>
      </c>
      <c r="Q12" s="141" t="str">
        <f t="shared" si="0"/>
        <v/>
      </c>
      <c r="R12" s="141" t="str">
        <f t="shared" si="0"/>
        <v/>
      </c>
      <c r="S12" s="141" t="str">
        <f t="shared" si="0"/>
        <v/>
      </c>
      <c r="T12" s="141" t="str">
        <f t="shared" si="1"/>
        <v/>
      </c>
      <c r="U12" s="141" t="str">
        <f t="shared" si="1"/>
        <v/>
      </c>
      <c r="V12" s="141" t="str">
        <f t="shared" si="1"/>
        <v/>
      </c>
      <c r="W12" s="141" t="str">
        <f t="shared" si="1"/>
        <v/>
      </c>
      <c r="X12" s="141" t="str">
        <f t="shared" si="1"/>
        <v/>
      </c>
      <c r="Y12" s="141" t="str">
        <f t="shared" si="1"/>
        <v/>
      </c>
      <c r="Z12" s="141" t="str">
        <f t="shared" si="1"/>
        <v/>
      </c>
      <c r="AA12" s="141" t="str">
        <f t="shared" si="1"/>
        <v/>
      </c>
      <c r="AB12" s="141" t="str">
        <f t="shared" si="1"/>
        <v/>
      </c>
      <c r="AC12" s="141" t="str">
        <f t="shared" si="1"/>
        <v/>
      </c>
      <c r="AD12" s="141" t="str">
        <f t="shared" si="2"/>
        <v/>
      </c>
      <c r="AE12" s="141" t="str">
        <f t="shared" si="2"/>
        <v/>
      </c>
      <c r="AF12" s="141" t="str">
        <f t="shared" si="2"/>
        <v/>
      </c>
      <c r="AG12" s="141" t="str">
        <f t="shared" si="2"/>
        <v/>
      </c>
      <c r="AH12" s="141" t="str">
        <f t="shared" si="2"/>
        <v/>
      </c>
      <c r="AI12" s="141" t="str">
        <f t="shared" si="2"/>
        <v/>
      </c>
      <c r="AJ12" s="141" t="str">
        <f t="shared" si="2"/>
        <v/>
      </c>
      <c r="AK12" s="141" t="str">
        <f t="shared" si="2"/>
        <v/>
      </c>
      <c r="AL12" s="141" t="str">
        <f t="shared" si="2"/>
        <v/>
      </c>
      <c r="AM12" s="141" t="str">
        <f t="shared" si="2"/>
        <v/>
      </c>
      <c r="AN12" s="141" t="str">
        <f t="shared" si="3"/>
        <v/>
      </c>
      <c r="AO12" s="141" t="str">
        <f t="shared" si="3"/>
        <v/>
      </c>
      <c r="AP12" s="141" t="str">
        <f t="shared" si="3"/>
        <v/>
      </c>
      <c r="AQ12" s="141" t="str">
        <f t="shared" si="3"/>
        <v/>
      </c>
      <c r="AR12" s="141" t="str">
        <f t="shared" si="3"/>
        <v/>
      </c>
      <c r="AS12" s="141" t="str">
        <f t="shared" si="3"/>
        <v/>
      </c>
      <c r="AT12" s="141" t="str">
        <f t="shared" si="3"/>
        <v/>
      </c>
      <c r="AU12" s="141" t="str">
        <f t="shared" si="3"/>
        <v/>
      </c>
      <c r="AV12" s="141" t="str">
        <f t="shared" si="3"/>
        <v/>
      </c>
      <c r="AW12" s="141" t="str">
        <f t="shared" si="3"/>
        <v/>
      </c>
      <c r="AX12" s="141" t="str">
        <f t="shared" si="4"/>
        <v/>
      </c>
      <c r="AY12" s="141" t="str">
        <f t="shared" si="4"/>
        <v/>
      </c>
      <c r="AZ12" s="141" t="str">
        <f t="shared" si="4"/>
        <v/>
      </c>
      <c r="BA12" s="141" t="str">
        <f t="shared" si="4"/>
        <v/>
      </c>
      <c r="BB12" s="141" t="str">
        <f t="shared" si="4"/>
        <v/>
      </c>
      <c r="BC12" s="141" t="str">
        <f t="shared" si="4"/>
        <v/>
      </c>
      <c r="BD12" s="141" t="str">
        <f t="shared" si="4"/>
        <v/>
      </c>
      <c r="BE12" s="141" t="str">
        <f t="shared" si="4"/>
        <v/>
      </c>
      <c r="BF12" s="141" t="str">
        <f t="shared" si="4"/>
        <v/>
      </c>
      <c r="BG12" s="141" t="str">
        <f t="shared" si="4"/>
        <v/>
      </c>
      <c r="BH12" s="141" t="str">
        <f t="shared" si="4"/>
        <v/>
      </c>
      <c r="BI12" s="141" t="str">
        <f t="shared" si="4"/>
        <v/>
      </c>
      <c r="BJ12" s="256" t="str">
        <f t="shared" si="4"/>
        <v/>
      </c>
      <c r="BK12" s="256" t="str">
        <f t="shared" si="4"/>
        <v/>
      </c>
      <c r="BL12" s="256" t="str">
        <f t="shared" ref="BL12:DW15" si="11">IF(AND($C12="Goal",BL$8&gt;=$E12,BL$8&lt;=$E12+$F12-1),2,IF(AND($C12="Milestone",BL$8&gt;=$E12,BL$8&lt;=$E12+$F12-1),1,""))</f>
        <v/>
      </c>
      <c r="BM12" s="256" t="str">
        <f t="shared" si="11"/>
        <v/>
      </c>
      <c r="BN12" s="256" t="str">
        <f t="shared" si="11"/>
        <v/>
      </c>
      <c r="BO12" s="256" t="str">
        <f t="shared" si="11"/>
        <v/>
      </c>
      <c r="BP12" s="256" t="str">
        <f t="shared" si="11"/>
        <v/>
      </c>
      <c r="BQ12" s="256" t="str">
        <f t="shared" si="11"/>
        <v/>
      </c>
      <c r="BR12" s="256" t="str">
        <f t="shared" si="11"/>
        <v/>
      </c>
      <c r="BS12" s="256" t="str">
        <f t="shared" si="11"/>
        <v/>
      </c>
      <c r="BT12" s="256" t="str">
        <f t="shared" si="11"/>
        <v/>
      </c>
      <c r="BU12" s="256" t="str">
        <f t="shared" si="11"/>
        <v/>
      </c>
      <c r="BV12" s="256" t="str">
        <f t="shared" si="11"/>
        <v/>
      </c>
      <c r="BW12" s="256" t="str">
        <f t="shared" si="11"/>
        <v/>
      </c>
      <c r="BX12" s="256" t="str">
        <f t="shared" si="11"/>
        <v/>
      </c>
      <c r="BY12" s="256" t="str">
        <f t="shared" si="11"/>
        <v/>
      </c>
      <c r="BZ12" s="256" t="str">
        <f t="shared" si="11"/>
        <v/>
      </c>
      <c r="CA12" s="256" t="str">
        <f t="shared" si="11"/>
        <v/>
      </c>
      <c r="CB12" s="256" t="str">
        <f t="shared" si="11"/>
        <v/>
      </c>
      <c r="CC12" s="256" t="str">
        <f t="shared" si="11"/>
        <v/>
      </c>
      <c r="CD12" s="256" t="str">
        <f t="shared" si="11"/>
        <v/>
      </c>
      <c r="CE12" s="256" t="str">
        <f t="shared" si="11"/>
        <v/>
      </c>
      <c r="CF12" s="256" t="str">
        <f t="shared" si="11"/>
        <v/>
      </c>
      <c r="CG12" s="256" t="str">
        <f t="shared" si="11"/>
        <v/>
      </c>
      <c r="CH12" s="256" t="str">
        <f t="shared" si="11"/>
        <v/>
      </c>
      <c r="CI12" s="256" t="str">
        <f t="shared" si="11"/>
        <v/>
      </c>
      <c r="CJ12" s="256" t="str">
        <f t="shared" si="11"/>
        <v/>
      </c>
      <c r="CK12" s="256" t="str">
        <f t="shared" si="11"/>
        <v/>
      </c>
      <c r="CL12" s="256" t="str">
        <f t="shared" si="11"/>
        <v/>
      </c>
      <c r="CM12" s="256" t="str">
        <f t="shared" si="11"/>
        <v/>
      </c>
      <c r="CN12" s="256" t="str">
        <f t="shared" si="11"/>
        <v/>
      </c>
      <c r="CO12" s="256" t="str">
        <f t="shared" si="11"/>
        <v/>
      </c>
      <c r="CP12" s="256" t="str">
        <f t="shared" si="11"/>
        <v/>
      </c>
      <c r="CQ12" s="256" t="str">
        <f t="shared" si="11"/>
        <v/>
      </c>
      <c r="CR12" s="256" t="str">
        <f t="shared" si="11"/>
        <v/>
      </c>
      <c r="CS12" s="256" t="str">
        <f t="shared" si="11"/>
        <v/>
      </c>
      <c r="CT12" s="256" t="str">
        <f t="shared" si="11"/>
        <v/>
      </c>
      <c r="CU12" s="256" t="str">
        <f t="shared" si="11"/>
        <v/>
      </c>
      <c r="CV12" s="256" t="str">
        <f t="shared" si="11"/>
        <v/>
      </c>
      <c r="CW12" s="256" t="str">
        <f t="shared" si="11"/>
        <v/>
      </c>
      <c r="CX12" s="256" t="str">
        <f t="shared" si="11"/>
        <v/>
      </c>
      <c r="CY12" s="256" t="str">
        <f t="shared" si="11"/>
        <v/>
      </c>
      <c r="CZ12" s="256" t="str">
        <f t="shared" si="11"/>
        <v/>
      </c>
      <c r="DA12" s="256" t="str">
        <f t="shared" si="11"/>
        <v/>
      </c>
      <c r="DB12" s="256" t="str">
        <f t="shared" si="11"/>
        <v/>
      </c>
      <c r="DC12" s="256" t="str">
        <f t="shared" si="11"/>
        <v/>
      </c>
      <c r="DD12" s="256" t="str">
        <f t="shared" si="11"/>
        <v/>
      </c>
      <c r="DE12" s="256" t="str">
        <f t="shared" si="11"/>
        <v/>
      </c>
      <c r="DF12" s="256" t="str">
        <f t="shared" si="11"/>
        <v/>
      </c>
      <c r="DG12" s="256" t="str">
        <f t="shared" si="11"/>
        <v/>
      </c>
      <c r="DH12" s="256" t="str">
        <f t="shared" si="11"/>
        <v/>
      </c>
      <c r="DI12" s="256" t="str">
        <f t="shared" si="11"/>
        <v/>
      </c>
      <c r="DJ12" s="256" t="str">
        <f t="shared" si="11"/>
        <v/>
      </c>
      <c r="DK12" s="256" t="str">
        <f t="shared" si="11"/>
        <v/>
      </c>
      <c r="DL12" s="256" t="str">
        <f t="shared" si="11"/>
        <v/>
      </c>
      <c r="DM12" s="256" t="str">
        <f t="shared" si="11"/>
        <v/>
      </c>
      <c r="DN12" s="256" t="str">
        <f t="shared" si="11"/>
        <v/>
      </c>
      <c r="DO12" s="256" t="str">
        <f t="shared" si="11"/>
        <v/>
      </c>
      <c r="DP12" s="256" t="str">
        <f t="shared" si="11"/>
        <v/>
      </c>
      <c r="DQ12" s="256" t="str">
        <f t="shared" si="11"/>
        <v/>
      </c>
      <c r="DR12" s="256" t="str">
        <f t="shared" si="11"/>
        <v/>
      </c>
      <c r="DS12" s="256" t="str">
        <f t="shared" si="11"/>
        <v/>
      </c>
      <c r="DT12" s="256" t="str">
        <f t="shared" si="11"/>
        <v/>
      </c>
      <c r="DU12" s="256" t="str">
        <f t="shared" si="11"/>
        <v/>
      </c>
      <c r="DV12" s="256" t="str">
        <f t="shared" si="11"/>
        <v/>
      </c>
      <c r="DW12" s="256" t="str">
        <f t="shared" si="11"/>
        <v/>
      </c>
      <c r="DX12" s="256" t="str">
        <f t="shared" si="5"/>
        <v/>
      </c>
      <c r="DY12" s="256" t="str">
        <f t="shared" si="5"/>
        <v/>
      </c>
      <c r="DZ12" s="256" t="str">
        <f t="shared" si="6"/>
        <v/>
      </c>
      <c r="EA12" s="256" t="str">
        <f t="shared" si="6"/>
        <v/>
      </c>
      <c r="EB12" s="256" t="str">
        <f t="shared" si="6"/>
        <v/>
      </c>
      <c r="EC12" s="256" t="str">
        <f t="shared" si="6"/>
        <v/>
      </c>
      <c r="ED12" s="256" t="str">
        <f t="shared" si="6"/>
        <v/>
      </c>
      <c r="EE12" s="256" t="str">
        <f t="shared" si="6"/>
        <v/>
      </c>
      <c r="EF12" s="256" t="str">
        <f t="shared" si="6"/>
        <v/>
      </c>
      <c r="EG12" s="256" t="str">
        <f t="shared" si="6"/>
        <v/>
      </c>
      <c r="EH12" s="256" t="str">
        <f t="shared" si="6"/>
        <v/>
      </c>
      <c r="EI12" s="256" t="str">
        <f t="shared" si="6"/>
        <v/>
      </c>
      <c r="EJ12" s="256" t="str">
        <f t="shared" si="6"/>
        <v/>
      </c>
      <c r="EK12" s="256" t="str">
        <f t="shared" si="6"/>
        <v/>
      </c>
      <c r="EL12" s="256" t="str">
        <f t="shared" si="6"/>
        <v/>
      </c>
      <c r="EM12" s="256" t="str">
        <f t="shared" si="6"/>
        <v/>
      </c>
      <c r="EN12" s="256" t="str">
        <f t="shared" si="6"/>
        <v/>
      </c>
      <c r="EO12" s="256" t="str">
        <f t="shared" si="6"/>
        <v/>
      </c>
      <c r="EP12" s="256" t="str">
        <f t="shared" si="6"/>
        <v/>
      </c>
      <c r="EQ12" s="256" t="str">
        <f t="shared" si="6"/>
        <v/>
      </c>
      <c r="ER12" s="256" t="str">
        <f t="shared" si="6"/>
        <v/>
      </c>
      <c r="ES12" s="256" t="str">
        <f t="shared" si="6"/>
        <v/>
      </c>
      <c r="ET12" s="256" t="str">
        <f t="shared" si="6"/>
        <v/>
      </c>
      <c r="EU12" s="256" t="str">
        <f t="shared" si="6"/>
        <v/>
      </c>
      <c r="EV12" s="256" t="str">
        <f t="shared" si="6"/>
        <v/>
      </c>
      <c r="EW12" s="256" t="str">
        <f t="shared" si="6"/>
        <v/>
      </c>
      <c r="EX12" s="256" t="str">
        <f t="shared" si="6"/>
        <v/>
      </c>
      <c r="EY12" s="256" t="str">
        <f t="shared" si="6"/>
        <v/>
      </c>
      <c r="EZ12" s="256" t="str">
        <f t="shared" si="6"/>
        <v/>
      </c>
      <c r="FA12" s="256" t="str">
        <f t="shared" si="6"/>
        <v/>
      </c>
      <c r="FB12" s="256" t="str">
        <f t="shared" si="7"/>
        <v/>
      </c>
      <c r="FC12" s="256" t="str">
        <f t="shared" si="7"/>
        <v/>
      </c>
      <c r="FD12" s="256" t="str">
        <f t="shared" si="6"/>
        <v/>
      </c>
      <c r="FE12" s="256" t="str">
        <f t="shared" si="6"/>
        <v/>
      </c>
      <c r="FF12" s="256" t="str">
        <f t="shared" si="6"/>
        <v/>
      </c>
      <c r="FG12" s="256" t="str">
        <f t="shared" si="6"/>
        <v/>
      </c>
      <c r="FH12" s="256" t="str">
        <f t="shared" si="6"/>
        <v/>
      </c>
      <c r="FI12" s="256" t="str">
        <f t="shared" si="6"/>
        <v/>
      </c>
      <c r="FJ12" s="256" t="str">
        <f t="shared" si="6"/>
        <v/>
      </c>
      <c r="FK12" s="256" t="str">
        <f t="shared" si="6"/>
        <v/>
      </c>
      <c r="FL12" s="256" t="str">
        <f t="shared" si="6"/>
        <v/>
      </c>
      <c r="FM12" s="256" t="str">
        <f t="shared" si="6"/>
        <v/>
      </c>
      <c r="FN12" s="256" t="str">
        <f t="shared" si="6"/>
        <v/>
      </c>
      <c r="FO12" s="256" t="str">
        <f t="shared" si="6"/>
        <v/>
      </c>
      <c r="FP12" s="256" t="str">
        <f t="shared" si="6"/>
        <v/>
      </c>
      <c r="FQ12" s="256" t="str">
        <f t="shared" si="6"/>
        <v/>
      </c>
      <c r="FR12" s="256" t="str">
        <f t="shared" si="6"/>
        <v/>
      </c>
      <c r="FS12" s="256" t="str">
        <f t="shared" si="6"/>
        <v/>
      </c>
      <c r="FT12" s="256" t="str">
        <f t="shared" si="6"/>
        <v/>
      </c>
      <c r="FU12" s="256" t="str">
        <f t="shared" si="6"/>
        <v/>
      </c>
      <c r="FV12" s="256" t="str">
        <f t="shared" si="6"/>
        <v/>
      </c>
      <c r="FW12" s="256" t="str">
        <f t="shared" si="6"/>
        <v/>
      </c>
      <c r="FX12" s="256" t="str">
        <f t="shared" si="6"/>
        <v/>
      </c>
      <c r="FY12" s="256" t="str">
        <f t="shared" si="6"/>
        <v/>
      </c>
      <c r="FZ12" s="256" t="str">
        <f t="shared" si="6"/>
        <v/>
      </c>
      <c r="GA12" s="256" t="str">
        <f t="shared" si="6"/>
        <v/>
      </c>
      <c r="GB12" s="256" t="str">
        <f t="shared" si="6"/>
        <v/>
      </c>
      <c r="GC12" s="256" t="str">
        <f t="shared" si="6"/>
        <v/>
      </c>
      <c r="GD12" s="256" t="str">
        <f t="shared" si="6"/>
        <v/>
      </c>
      <c r="GE12" s="256" t="str">
        <f t="shared" si="6"/>
        <v/>
      </c>
      <c r="GF12" s="256" t="str">
        <f t="shared" si="6"/>
        <v/>
      </c>
      <c r="GG12" s="256" t="str">
        <f t="shared" si="6"/>
        <v/>
      </c>
      <c r="GH12" s="256" t="str">
        <f t="shared" si="6"/>
        <v/>
      </c>
      <c r="GI12" s="256" t="str">
        <f t="shared" si="6"/>
        <v/>
      </c>
      <c r="GJ12" s="256" t="str">
        <f t="shared" si="6"/>
        <v/>
      </c>
      <c r="GK12" s="256" t="str">
        <f t="shared" si="6"/>
        <v/>
      </c>
      <c r="GL12" s="256" t="str">
        <f t="shared" si="8"/>
        <v/>
      </c>
      <c r="GM12" s="256" t="str">
        <f t="shared" si="8"/>
        <v/>
      </c>
      <c r="GN12" s="256" t="str">
        <f t="shared" si="8"/>
        <v/>
      </c>
      <c r="GO12" s="256" t="str">
        <f t="shared" si="8"/>
        <v/>
      </c>
      <c r="GP12" s="256" t="str">
        <f t="shared" si="8"/>
        <v/>
      </c>
      <c r="GQ12" s="256" t="str">
        <f t="shared" si="8"/>
        <v/>
      </c>
      <c r="GR12" s="256" t="str">
        <f t="shared" si="8"/>
        <v/>
      </c>
      <c r="GS12" s="256" t="str">
        <f t="shared" si="8"/>
        <v/>
      </c>
      <c r="GT12" s="256" t="str">
        <f t="shared" si="8"/>
        <v/>
      </c>
      <c r="GU12" s="256" t="str">
        <f t="shared" si="8"/>
        <v/>
      </c>
      <c r="GV12" s="256" t="str">
        <f t="shared" si="8"/>
        <v/>
      </c>
      <c r="GW12" s="256" t="str">
        <f t="shared" si="8"/>
        <v/>
      </c>
      <c r="GX12" s="256" t="str">
        <f t="shared" si="8"/>
        <v/>
      </c>
      <c r="GY12" s="256" t="str">
        <f t="shared" si="8"/>
        <v/>
      </c>
      <c r="GZ12" s="256" t="str">
        <f t="shared" si="8"/>
        <v/>
      </c>
      <c r="HA12" s="256" t="str">
        <f t="shared" si="8"/>
        <v/>
      </c>
      <c r="HB12" s="256" t="str">
        <f t="shared" si="8"/>
        <v/>
      </c>
      <c r="HC12" s="256" t="str">
        <f t="shared" si="8"/>
        <v/>
      </c>
      <c r="HD12" s="256" t="str">
        <f t="shared" si="8"/>
        <v/>
      </c>
      <c r="HE12" s="256" t="str">
        <f t="shared" si="8"/>
        <v/>
      </c>
      <c r="HF12" s="256" t="str">
        <f t="shared" si="9"/>
        <v/>
      </c>
      <c r="HG12" s="256" t="str">
        <f t="shared" si="9"/>
        <v/>
      </c>
      <c r="HH12" s="256" t="str">
        <f t="shared" si="9"/>
        <v/>
      </c>
      <c r="HI12" s="256" t="str">
        <f t="shared" si="9"/>
        <v/>
      </c>
      <c r="HJ12" s="256" t="str">
        <f t="shared" si="9"/>
        <v/>
      </c>
    </row>
    <row r="13" spans="1:218" s="134" customFormat="1" ht="40.200000000000003" customHeight="1">
      <c r="A13" s="90"/>
      <c r="B13" s="257" t="s">
        <v>94</v>
      </c>
      <c r="C13" s="136" t="s">
        <v>432</v>
      </c>
      <c r="D13" s="144"/>
      <c r="E13" s="143">
        <v>45962</v>
      </c>
      <c r="F13" s="142">
        <v>21</v>
      </c>
      <c r="G13" s="136"/>
      <c r="H13" s="141" t="str">
        <f t="shared" si="10"/>
        <v/>
      </c>
      <c r="I13" s="141" t="str">
        <f>IF(AND($C13="Goal",I$8&gt;=$E13,I$8&lt;=$E13+$F13-1),2,IF(AND($C13="Milestone",I$8&gt;=$E13,I$8&lt;=$E13+$F13-1),1,""))</f>
        <v/>
      </c>
      <c r="J13" s="141" t="str">
        <f t="shared" si="0"/>
        <v/>
      </c>
      <c r="K13" s="256" t="str">
        <f t="shared" si="0"/>
        <v/>
      </c>
      <c r="L13" s="256" t="str">
        <f t="shared" si="0"/>
        <v/>
      </c>
      <c r="M13" s="141" t="str">
        <f t="shared" si="0"/>
        <v/>
      </c>
      <c r="N13" s="141" t="str">
        <f t="shared" si="0"/>
        <v/>
      </c>
      <c r="O13" s="141" t="str">
        <f t="shared" si="0"/>
        <v/>
      </c>
      <c r="P13" s="141" t="str">
        <f t="shared" si="0"/>
        <v/>
      </c>
      <c r="Q13" s="141" t="str">
        <f t="shared" si="0"/>
        <v/>
      </c>
      <c r="R13" s="141" t="str">
        <f t="shared" si="0"/>
        <v/>
      </c>
      <c r="S13" s="141" t="str">
        <f t="shared" si="0"/>
        <v/>
      </c>
      <c r="T13" s="141" t="str">
        <f t="shared" si="1"/>
        <v/>
      </c>
      <c r="U13" s="141" t="str">
        <f t="shared" si="1"/>
        <v/>
      </c>
      <c r="V13" s="141" t="str">
        <f t="shared" si="1"/>
        <v/>
      </c>
      <c r="W13" s="141" t="str">
        <f t="shared" si="1"/>
        <v/>
      </c>
      <c r="X13" s="141" t="str">
        <f t="shared" si="1"/>
        <v/>
      </c>
      <c r="Y13" s="141" t="str">
        <f t="shared" si="1"/>
        <v/>
      </c>
      <c r="Z13" s="141" t="str">
        <f t="shared" si="1"/>
        <v/>
      </c>
      <c r="AA13" s="141" t="str">
        <f t="shared" si="1"/>
        <v/>
      </c>
      <c r="AB13" s="141" t="str">
        <f t="shared" si="1"/>
        <v/>
      </c>
      <c r="AC13" s="141" t="str">
        <f t="shared" si="1"/>
        <v/>
      </c>
      <c r="AD13" s="141" t="str">
        <f t="shared" si="2"/>
        <v/>
      </c>
      <c r="AE13" s="141" t="str">
        <f t="shared" si="2"/>
        <v/>
      </c>
      <c r="AF13" s="141" t="str">
        <f t="shared" si="2"/>
        <v/>
      </c>
      <c r="AG13" s="141" t="str">
        <f t="shared" si="2"/>
        <v/>
      </c>
      <c r="AH13" s="141" t="str">
        <f t="shared" si="2"/>
        <v/>
      </c>
      <c r="AI13" s="141" t="str">
        <f t="shared" si="2"/>
        <v/>
      </c>
      <c r="AJ13" s="141" t="str">
        <f t="shared" si="2"/>
        <v/>
      </c>
      <c r="AK13" s="141" t="str">
        <f t="shared" si="2"/>
        <v/>
      </c>
      <c r="AL13" s="141" t="str">
        <f t="shared" si="2"/>
        <v/>
      </c>
      <c r="AM13" s="141" t="str">
        <f t="shared" si="2"/>
        <v/>
      </c>
      <c r="AN13" s="141" t="str">
        <f t="shared" si="3"/>
        <v/>
      </c>
      <c r="AO13" s="141" t="str">
        <f t="shared" si="3"/>
        <v/>
      </c>
      <c r="AP13" s="141" t="str">
        <f t="shared" si="3"/>
        <v/>
      </c>
      <c r="AQ13" s="141" t="str">
        <f t="shared" si="3"/>
        <v/>
      </c>
      <c r="AR13" s="141" t="str">
        <f t="shared" si="3"/>
        <v/>
      </c>
      <c r="AS13" s="141" t="str">
        <f t="shared" si="3"/>
        <v/>
      </c>
      <c r="AT13" s="141" t="str">
        <f t="shared" si="3"/>
        <v/>
      </c>
      <c r="AU13" s="141" t="str">
        <f t="shared" si="3"/>
        <v/>
      </c>
      <c r="AV13" s="141" t="str">
        <f t="shared" si="3"/>
        <v/>
      </c>
      <c r="AW13" s="141" t="str">
        <f t="shared" si="3"/>
        <v/>
      </c>
      <c r="AX13" s="141" t="str">
        <f t="shared" si="4"/>
        <v/>
      </c>
      <c r="AY13" s="141" t="str">
        <f t="shared" si="4"/>
        <v/>
      </c>
      <c r="AZ13" s="141" t="str">
        <f t="shared" si="4"/>
        <v/>
      </c>
      <c r="BA13" s="141" t="str">
        <f t="shared" si="4"/>
        <v/>
      </c>
      <c r="BB13" s="141" t="str">
        <f t="shared" si="4"/>
        <v/>
      </c>
      <c r="BC13" s="141" t="str">
        <f t="shared" si="4"/>
        <v/>
      </c>
      <c r="BD13" s="141" t="str">
        <f t="shared" si="4"/>
        <v/>
      </c>
      <c r="BE13" s="141" t="str">
        <f t="shared" si="4"/>
        <v/>
      </c>
      <c r="BF13" s="141" t="str">
        <f t="shared" si="4"/>
        <v/>
      </c>
      <c r="BG13" s="141" t="str">
        <f t="shared" si="4"/>
        <v/>
      </c>
      <c r="BH13" s="141" t="str">
        <f t="shared" si="4"/>
        <v/>
      </c>
      <c r="BI13" s="141" t="str">
        <f t="shared" si="4"/>
        <v/>
      </c>
      <c r="BJ13" s="256" t="str">
        <f t="shared" si="4"/>
        <v/>
      </c>
      <c r="BK13" s="256" t="str">
        <f t="shared" si="4"/>
        <v/>
      </c>
      <c r="BL13" s="256" t="str">
        <f t="shared" si="11"/>
        <v/>
      </c>
      <c r="BM13" s="256" t="str">
        <f t="shared" si="11"/>
        <v/>
      </c>
      <c r="BN13" s="256" t="str">
        <f t="shared" si="11"/>
        <v/>
      </c>
      <c r="BO13" s="256" t="str">
        <f t="shared" si="11"/>
        <v/>
      </c>
      <c r="BP13" s="256" t="str">
        <f t="shared" si="11"/>
        <v/>
      </c>
      <c r="BQ13" s="256" t="str">
        <f t="shared" si="11"/>
        <v/>
      </c>
      <c r="BR13" s="256" t="str">
        <f t="shared" si="11"/>
        <v/>
      </c>
      <c r="BS13" s="256" t="str">
        <f t="shared" si="11"/>
        <v/>
      </c>
      <c r="BT13" s="256" t="str">
        <f t="shared" si="11"/>
        <v/>
      </c>
      <c r="BU13" s="256" t="str">
        <f t="shared" si="11"/>
        <v/>
      </c>
      <c r="BV13" s="256" t="str">
        <f t="shared" si="11"/>
        <v/>
      </c>
      <c r="BW13" s="256" t="str">
        <f t="shared" si="11"/>
        <v/>
      </c>
      <c r="BX13" s="256" t="str">
        <f t="shared" si="11"/>
        <v/>
      </c>
      <c r="BY13" s="256" t="str">
        <f t="shared" si="11"/>
        <v/>
      </c>
      <c r="BZ13" s="256" t="str">
        <f t="shared" si="11"/>
        <v/>
      </c>
      <c r="CA13" s="256" t="str">
        <f t="shared" si="11"/>
        <v/>
      </c>
      <c r="CB13" s="256" t="str">
        <f t="shared" si="11"/>
        <v/>
      </c>
      <c r="CC13" s="256" t="str">
        <f t="shared" si="11"/>
        <v/>
      </c>
      <c r="CD13" s="256" t="str">
        <f t="shared" si="11"/>
        <v/>
      </c>
      <c r="CE13" s="256" t="str">
        <f t="shared" si="11"/>
        <v/>
      </c>
      <c r="CF13" s="256" t="str">
        <f t="shared" si="11"/>
        <v/>
      </c>
      <c r="CG13" s="256" t="str">
        <f t="shared" si="11"/>
        <v/>
      </c>
      <c r="CH13" s="256" t="str">
        <f t="shared" si="11"/>
        <v/>
      </c>
      <c r="CI13" s="256" t="str">
        <f t="shared" si="11"/>
        <v/>
      </c>
      <c r="CJ13" s="256" t="str">
        <f t="shared" si="11"/>
        <v/>
      </c>
      <c r="CK13" s="256" t="str">
        <f t="shared" si="11"/>
        <v/>
      </c>
      <c r="CL13" s="256" t="str">
        <f t="shared" si="11"/>
        <v/>
      </c>
      <c r="CM13" s="256" t="str">
        <f t="shared" si="11"/>
        <v/>
      </c>
      <c r="CN13" s="256" t="str">
        <f t="shared" si="11"/>
        <v/>
      </c>
      <c r="CO13" s="256" t="str">
        <f t="shared" si="11"/>
        <v/>
      </c>
      <c r="CP13" s="256" t="str">
        <f t="shared" si="11"/>
        <v/>
      </c>
      <c r="CQ13" s="256" t="str">
        <f t="shared" si="11"/>
        <v/>
      </c>
      <c r="CR13" s="256" t="str">
        <f t="shared" si="11"/>
        <v/>
      </c>
      <c r="CS13" s="256" t="str">
        <f t="shared" si="11"/>
        <v/>
      </c>
      <c r="CT13" s="256" t="str">
        <f t="shared" si="11"/>
        <v/>
      </c>
      <c r="CU13" s="256" t="str">
        <f t="shared" si="11"/>
        <v/>
      </c>
      <c r="CV13" s="256" t="str">
        <f t="shared" si="11"/>
        <v/>
      </c>
      <c r="CW13" s="256" t="str">
        <f t="shared" si="11"/>
        <v/>
      </c>
      <c r="CX13" s="256" t="str">
        <f t="shared" si="11"/>
        <v/>
      </c>
      <c r="CY13" s="256" t="str">
        <f t="shared" si="11"/>
        <v/>
      </c>
      <c r="CZ13" s="256" t="str">
        <f t="shared" si="11"/>
        <v/>
      </c>
      <c r="DA13" s="256" t="str">
        <f t="shared" si="11"/>
        <v/>
      </c>
      <c r="DB13" s="256" t="str">
        <f t="shared" si="11"/>
        <v/>
      </c>
      <c r="DC13" s="256" t="str">
        <f t="shared" si="11"/>
        <v/>
      </c>
      <c r="DD13" s="256" t="str">
        <f t="shared" si="11"/>
        <v/>
      </c>
      <c r="DE13" s="256" t="str">
        <f t="shared" si="11"/>
        <v/>
      </c>
      <c r="DF13" s="256" t="str">
        <f t="shared" si="11"/>
        <v/>
      </c>
      <c r="DG13" s="256" t="str">
        <f t="shared" si="11"/>
        <v/>
      </c>
      <c r="DH13" s="256" t="str">
        <f t="shared" si="11"/>
        <v/>
      </c>
      <c r="DI13" s="256" t="str">
        <f t="shared" si="11"/>
        <v/>
      </c>
      <c r="DJ13" s="256" t="str">
        <f t="shared" si="11"/>
        <v/>
      </c>
      <c r="DK13" s="256" t="str">
        <f t="shared" si="11"/>
        <v/>
      </c>
      <c r="DL13" s="256" t="str">
        <f t="shared" si="11"/>
        <v/>
      </c>
      <c r="DM13" s="256" t="str">
        <f t="shared" si="11"/>
        <v/>
      </c>
      <c r="DN13" s="256" t="str">
        <f t="shared" si="11"/>
        <v/>
      </c>
      <c r="DO13" s="256" t="str">
        <f t="shared" si="11"/>
        <v/>
      </c>
      <c r="DP13" s="256" t="str">
        <f t="shared" si="11"/>
        <v/>
      </c>
      <c r="DQ13" s="256" t="str">
        <f t="shared" si="11"/>
        <v/>
      </c>
      <c r="DR13" s="256" t="str">
        <f t="shared" si="11"/>
        <v/>
      </c>
      <c r="DS13" s="256" t="str">
        <f t="shared" si="11"/>
        <v/>
      </c>
      <c r="DT13" s="256" t="str">
        <f t="shared" si="11"/>
        <v/>
      </c>
      <c r="DU13" s="256" t="str">
        <f t="shared" si="11"/>
        <v/>
      </c>
      <c r="DV13" s="256" t="str">
        <f t="shared" si="11"/>
        <v/>
      </c>
      <c r="DW13" s="256" t="str">
        <f t="shared" si="11"/>
        <v/>
      </c>
      <c r="DX13" s="256" t="str">
        <f t="shared" si="5"/>
        <v/>
      </c>
      <c r="DY13" s="256" t="str">
        <f t="shared" si="5"/>
        <v/>
      </c>
      <c r="DZ13" s="256" t="str">
        <f t="shared" si="6"/>
        <v/>
      </c>
      <c r="EA13" s="256" t="str">
        <f t="shared" si="6"/>
        <v/>
      </c>
      <c r="EB13" s="256" t="str">
        <f t="shared" si="6"/>
        <v/>
      </c>
      <c r="EC13" s="256" t="str">
        <f t="shared" si="6"/>
        <v/>
      </c>
      <c r="ED13" s="256" t="str">
        <f t="shared" si="6"/>
        <v/>
      </c>
      <c r="EE13" s="256" t="str">
        <f t="shared" si="6"/>
        <v/>
      </c>
      <c r="EF13" s="256" t="str">
        <f t="shared" si="6"/>
        <v/>
      </c>
      <c r="EG13" s="256" t="str">
        <f t="shared" si="6"/>
        <v/>
      </c>
      <c r="EH13" s="256" t="str">
        <f t="shared" si="6"/>
        <v/>
      </c>
      <c r="EI13" s="256" t="str">
        <f t="shared" si="6"/>
        <v/>
      </c>
      <c r="EJ13" s="256" t="str">
        <f t="shared" si="6"/>
        <v/>
      </c>
      <c r="EK13" s="256" t="str">
        <f t="shared" si="6"/>
        <v/>
      </c>
      <c r="EL13" s="256" t="str">
        <f t="shared" si="6"/>
        <v/>
      </c>
      <c r="EM13" s="256" t="str">
        <f t="shared" si="6"/>
        <v/>
      </c>
      <c r="EN13" s="256" t="str">
        <f t="shared" si="6"/>
        <v/>
      </c>
      <c r="EO13" s="256" t="str">
        <f t="shared" si="6"/>
        <v/>
      </c>
      <c r="EP13" s="256" t="str">
        <f t="shared" si="6"/>
        <v/>
      </c>
      <c r="EQ13" s="256" t="str">
        <f t="shared" si="6"/>
        <v/>
      </c>
      <c r="ER13" s="256" t="str">
        <f t="shared" si="6"/>
        <v/>
      </c>
      <c r="ES13" s="256" t="str">
        <f t="shared" si="6"/>
        <v/>
      </c>
      <c r="ET13" s="256" t="str">
        <f t="shared" si="6"/>
        <v/>
      </c>
      <c r="EU13" s="256" t="str">
        <f t="shared" si="6"/>
        <v/>
      </c>
      <c r="EV13" s="256" t="str">
        <f t="shared" si="6"/>
        <v/>
      </c>
      <c r="EW13" s="256" t="str">
        <f t="shared" si="6"/>
        <v/>
      </c>
      <c r="EX13" s="256" t="str">
        <f t="shared" si="6"/>
        <v/>
      </c>
      <c r="EY13" s="256" t="str">
        <f t="shared" si="6"/>
        <v/>
      </c>
      <c r="EZ13" s="256" t="str">
        <f t="shared" si="6"/>
        <v/>
      </c>
      <c r="FA13" s="256" t="str">
        <f t="shared" si="6"/>
        <v/>
      </c>
      <c r="FB13" s="256" t="str">
        <f t="shared" si="7"/>
        <v/>
      </c>
      <c r="FC13" s="256" t="str">
        <f t="shared" si="7"/>
        <v/>
      </c>
      <c r="FD13" s="256" t="str">
        <f t="shared" si="6"/>
        <v/>
      </c>
      <c r="FE13" s="256" t="str">
        <f t="shared" si="6"/>
        <v/>
      </c>
      <c r="FF13" s="256" t="str">
        <f t="shared" si="6"/>
        <v/>
      </c>
      <c r="FG13" s="256" t="str">
        <f t="shared" si="6"/>
        <v/>
      </c>
      <c r="FH13" s="256" t="str">
        <f t="shared" si="6"/>
        <v/>
      </c>
      <c r="FI13" s="256" t="str">
        <f t="shared" si="6"/>
        <v/>
      </c>
      <c r="FJ13" s="256" t="str">
        <f t="shared" si="6"/>
        <v/>
      </c>
      <c r="FK13" s="256" t="str">
        <f t="shared" si="6"/>
        <v/>
      </c>
      <c r="FL13" s="256" t="str">
        <f t="shared" si="6"/>
        <v/>
      </c>
      <c r="FM13" s="256" t="str">
        <f t="shared" si="6"/>
        <v/>
      </c>
      <c r="FN13" s="256" t="str">
        <f t="shared" si="6"/>
        <v/>
      </c>
      <c r="FO13" s="256" t="str">
        <f t="shared" si="6"/>
        <v/>
      </c>
      <c r="FP13" s="256" t="str">
        <f t="shared" si="6"/>
        <v/>
      </c>
      <c r="FQ13" s="256" t="str">
        <f t="shared" si="6"/>
        <v/>
      </c>
      <c r="FR13" s="256" t="str">
        <f t="shared" si="6"/>
        <v/>
      </c>
      <c r="FS13" s="256" t="str">
        <f t="shared" si="6"/>
        <v/>
      </c>
      <c r="FT13" s="256" t="str">
        <f t="shared" si="6"/>
        <v/>
      </c>
      <c r="FU13" s="256" t="str">
        <f t="shared" si="6"/>
        <v/>
      </c>
      <c r="FV13" s="256" t="str">
        <f t="shared" si="6"/>
        <v/>
      </c>
      <c r="FW13" s="256" t="str">
        <f t="shared" si="6"/>
        <v/>
      </c>
      <c r="FX13" s="256" t="str">
        <f t="shared" si="6"/>
        <v/>
      </c>
      <c r="FY13" s="256" t="str">
        <f t="shared" si="6"/>
        <v/>
      </c>
      <c r="FZ13" s="256" t="str">
        <f t="shared" si="6"/>
        <v/>
      </c>
      <c r="GA13" s="256" t="str">
        <f t="shared" si="6"/>
        <v/>
      </c>
      <c r="GB13" s="256" t="str">
        <f t="shared" si="6"/>
        <v/>
      </c>
      <c r="GC13" s="256" t="str">
        <f t="shared" si="6"/>
        <v/>
      </c>
      <c r="GD13" s="256" t="str">
        <f t="shared" si="6"/>
        <v/>
      </c>
      <c r="GE13" s="256" t="str">
        <f t="shared" si="6"/>
        <v/>
      </c>
      <c r="GF13" s="256" t="str">
        <f t="shared" si="6"/>
        <v/>
      </c>
      <c r="GG13" s="256" t="str">
        <f t="shared" si="6"/>
        <v/>
      </c>
      <c r="GH13" s="256" t="str">
        <f t="shared" si="6"/>
        <v/>
      </c>
      <c r="GI13" s="256" t="str">
        <f t="shared" si="6"/>
        <v/>
      </c>
      <c r="GJ13" s="256" t="str">
        <f t="shared" si="6"/>
        <v/>
      </c>
      <c r="GK13" s="256" t="str">
        <f t="shared" si="6"/>
        <v/>
      </c>
      <c r="GL13" s="256" t="str">
        <f t="shared" si="8"/>
        <v/>
      </c>
      <c r="GM13" s="256" t="str">
        <f t="shared" si="8"/>
        <v/>
      </c>
      <c r="GN13" s="256" t="str">
        <f t="shared" si="8"/>
        <v/>
      </c>
      <c r="GO13" s="256" t="str">
        <f t="shared" si="8"/>
        <v/>
      </c>
      <c r="GP13" s="256" t="str">
        <f t="shared" si="8"/>
        <v/>
      </c>
      <c r="GQ13" s="256" t="str">
        <f t="shared" si="8"/>
        <v/>
      </c>
      <c r="GR13" s="256" t="str">
        <f t="shared" si="8"/>
        <v/>
      </c>
      <c r="GS13" s="256" t="str">
        <f t="shared" si="8"/>
        <v/>
      </c>
      <c r="GT13" s="256" t="str">
        <f t="shared" si="8"/>
        <v/>
      </c>
      <c r="GU13" s="256" t="str">
        <f t="shared" si="8"/>
        <v/>
      </c>
      <c r="GV13" s="256" t="str">
        <f t="shared" si="8"/>
        <v/>
      </c>
      <c r="GW13" s="256" t="str">
        <f t="shared" si="8"/>
        <v/>
      </c>
      <c r="GX13" s="256" t="str">
        <f t="shared" si="8"/>
        <v/>
      </c>
      <c r="GY13" s="256" t="str">
        <f t="shared" si="8"/>
        <v/>
      </c>
      <c r="GZ13" s="256" t="str">
        <f t="shared" si="8"/>
        <v/>
      </c>
      <c r="HA13" s="256" t="str">
        <f t="shared" si="8"/>
        <v/>
      </c>
      <c r="HB13" s="256" t="str">
        <f t="shared" si="8"/>
        <v/>
      </c>
      <c r="HC13" s="256" t="str">
        <f t="shared" si="8"/>
        <v/>
      </c>
      <c r="HD13" s="256" t="str">
        <f t="shared" si="8"/>
        <v/>
      </c>
      <c r="HE13" s="256" t="str">
        <f t="shared" si="8"/>
        <v/>
      </c>
      <c r="HF13" s="256" t="str">
        <f t="shared" si="9"/>
        <v/>
      </c>
      <c r="HG13" s="256" t="str">
        <f t="shared" si="9"/>
        <v/>
      </c>
      <c r="HH13" s="256" t="str">
        <f t="shared" si="9"/>
        <v/>
      </c>
      <c r="HI13" s="256" t="str">
        <f t="shared" si="9"/>
        <v/>
      </c>
      <c r="HJ13" s="256" t="str">
        <f t="shared" si="9"/>
        <v/>
      </c>
    </row>
    <row r="14" spans="1:218" s="134" customFormat="1" ht="40.200000000000003" customHeight="1">
      <c r="A14" s="90"/>
      <c r="B14" s="257" t="s">
        <v>433</v>
      </c>
      <c r="C14" s="136" t="s">
        <v>432</v>
      </c>
      <c r="D14" s="144">
        <v>0.1</v>
      </c>
      <c r="E14" s="143">
        <f>E11+6</f>
        <v>45968</v>
      </c>
      <c r="F14" s="142">
        <v>6</v>
      </c>
      <c r="G14" s="136"/>
      <c r="H14" s="141" t="str">
        <f t="shared" si="10"/>
        <v/>
      </c>
      <c r="I14" s="141" t="str">
        <f>IF(AND($C14="Goal",I$8&gt;=$E14,I$8&lt;=$E14+$F14-1),2,IF(AND($C14="Milestone",I$8&gt;=$E14,I$8&lt;=$E14+$F14-1),1,""))</f>
        <v/>
      </c>
      <c r="J14" s="141" t="str">
        <f t="shared" si="0"/>
        <v/>
      </c>
      <c r="K14" s="256" t="str">
        <f t="shared" si="0"/>
        <v/>
      </c>
      <c r="L14" s="256" t="str">
        <f t="shared" si="0"/>
        <v/>
      </c>
      <c r="M14" s="141" t="str">
        <f t="shared" si="0"/>
        <v/>
      </c>
      <c r="N14" s="141" t="str">
        <f t="shared" si="0"/>
        <v/>
      </c>
      <c r="O14" s="141" t="str">
        <f t="shared" si="0"/>
        <v/>
      </c>
      <c r="P14" s="141" t="str">
        <f t="shared" si="0"/>
        <v/>
      </c>
      <c r="Q14" s="141" t="str">
        <f t="shared" si="0"/>
        <v/>
      </c>
      <c r="R14" s="141" t="str">
        <f t="shared" si="0"/>
        <v/>
      </c>
      <c r="S14" s="141" t="str">
        <f t="shared" si="0"/>
        <v/>
      </c>
      <c r="T14" s="141" t="str">
        <f t="shared" si="1"/>
        <v/>
      </c>
      <c r="U14" s="141" t="str">
        <f t="shared" si="1"/>
        <v/>
      </c>
      <c r="V14" s="141" t="str">
        <f t="shared" si="1"/>
        <v/>
      </c>
      <c r="W14" s="141" t="str">
        <f t="shared" si="1"/>
        <v/>
      </c>
      <c r="X14" s="141" t="str">
        <f t="shared" si="1"/>
        <v/>
      </c>
      <c r="Y14" s="141" t="str">
        <f t="shared" si="1"/>
        <v/>
      </c>
      <c r="Z14" s="141" t="str">
        <f t="shared" si="1"/>
        <v/>
      </c>
      <c r="AA14" s="141" t="str">
        <f t="shared" si="1"/>
        <v/>
      </c>
      <c r="AB14" s="141" t="str">
        <f t="shared" si="1"/>
        <v/>
      </c>
      <c r="AC14" s="141" t="str">
        <f t="shared" si="1"/>
        <v/>
      </c>
      <c r="AD14" s="141" t="str">
        <f t="shared" si="2"/>
        <v/>
      </c>
      <c r="AE14" s="141" t="str">
        <f t="shared" si="2"/>
        <v/>
      </c>
      <c r="AF14" s="141" t="str">
        <f t="shared" si="2"/>
        <v/>
      </c>
      <c r="AG14" s="141" t="str">
        <f t="shared" si="2"/>
        <v/>
      </c>
      <c r="AH14" s="141" t="str">
        <f t="shared" si="2"/>
        <v/>
      </c>
      <c r="AI14" s="141" t="str">
        <f t="shared" si="2"/>
        <v/>
      </c>
      <c r="AJ14" s="141" t="str">
        <f t="shared" si="2"/>
        <v/>
      </c>
      <c r="AK14" s="141" t="str">
        <f t="shared" si="2"/>
        <v/>
      </c>
      <c r="AL14" s="141" t="str">
        <f t="shared" si="2"/>
        <v/>
      </c>
      <c r="AM14" s="141" t="str">
        <f t="shared" si="2"/>
        <v/>
      </c>
      <c r="AN14" s="141" t="str">
        <f t="shared" si="3"/>
        <v/>
      </c>
      <c r="AO14" s="141" t="str">
        <f t="shared" si="3"/>
        <v/>
      </c>
      <c r="AP14" s="141" t="str">
        <f t="shared" si="3"/>
        <v/>
      </c>
      <c r="AQ14" s="141" t="str">
        <f t="shared" si="3"/>
        <v/>
      </c>
      <c r="AR14" s="141" t="str">
        <f t="shared" si="3"/>
        <v/>
      </c>
      <c r="AS14" s="141" t="str">
        <f t="shared" si="3"/>
        <v/>
      </c>
      <c r="AT14" s="141" t="str">
        <f t="shared" si="3"/>
        <v/>
      </c>
      <c r="AU14" s="141" t="str">
        <f t="shared" si="3"/>
        <v/>
      </c>
      <c r="AV14" s="141" t="str">
        <f t="shared" si="3"/>
        <v/>
      </c>
      <c r="AW14" s="141" t="str">
        <f t="shared" si="3"/>
        <v/>
      </c>
      <c r="AX14" s="141" t="str">
        <f t="shared" si="4"/>
        <v/>
      </c>
      <c r="AY14" s="141" t="str">
        <f t="shared" si="4"/>
        <v/>
      </c>
      <c r="AZ14" s="141" t="str">
        <f t="shared" si="4"/>
        <v/>
      </c>
      <c r="BA14" s="141" t="str">
        <f t="shared" si="4"/>
        <v/>
      </c>
      <c r="BB14" s="141" t="str">
        <f t="shared" si="4"/>
        <v/>
      </c>
      <c r="BC14" s="141" t="str">
        <f t="shared" si="4"/>
        <v/>
      </c>
      <c r="BD14" s="141" t="str">
        <f t="shared" si="4"/>
        <v/>
      </c>
      <c r="BE14" s="141" t="str">
        <f t="shared" si="4"/>
        <v/>
      </c>
      <c r="BF14" s="141" t="str">
        <f t="shared" si="4"/>
        <v/>
      </c>
      <c r="BG14" s="141" t="str">
        <f t="shared" si="4"/>
        <v/>
      </c>
      <c r="BH14" s="141" t="str">
        <f t="shared" si="4"/>
        <v/>
      </c>
      <c r="BI14" s="141" t="str">
        <f t="shared" si="4"/>
        <v/>
      </c>
      <c r="BJ14" s="256" t="str">
        <f t="shared" si="4"/>
        <v/>
      </c>
      <c r="BK14" s="256" t="str">
        <f t="shared" si="4"/>
        <v/>
      </c>
      <c r="BL14" s="256" t="str">
        <f t="shared" si="11"/>
        <v/>
      </c>
      <c r="BM14" s="256" t="str">
        <f t="shared" si="11"/>
        <v/>
      </c>
      <c r="BN14" s="256" t="str">
        <f t="shared" si="11"/>
        <v/>
      </c>
      <c r="BO14" s="256" t="str">
        <f t="shared" si="11"/>
        <v/>
      </c>
      <c r="BP14" s="256" t="str">
        <f t="shared" si="11"/>
        <v/>
      </c>
      <c r="BQ14" s="256" t="str">
        <f t="shared" si="11"/>
        <v/>
      </c>
      <c r="BR14" s="256" t="str">
        <f t="shared" si="11"/>
        <v/>
      </c>
      <c r="BS14" s="256" t="str">
        <f t="shared" si="11"/>
        <v/>
      </c>
      <c r="BT14" s="256" t="str">
        <f t="shared" si="11"/>
        <v/>
      </c>
      <c r="BU14" s="256" t="str">
        <f t="shared" si="11"/>
        <v/>
      </c>
      <c r="BV14" s="256" t="str">
        <f t="shared" si="11"/>
        <v/>
      </c>
      <c r="BW14" s="256" t="str">
        <f t="shared" si="11"/>
        <v/>
      </c>
      <c r="BX14" s="256" t="str">
        <f t="shared" si="11"/>
        <v/>
      </c>
      <c r="BY14" s="256" t="str">
        <f t="shared" si="11"/>
        <v/>
      </c>
      <c r="BZ14" s="256" t="str">
        <f t="shared" si="11"/>
        <v/>
      </c>
      <c r="CA14" s="256" t="str">
        <f t="shared" si="11"/>
        <v/>
      </c>
      <c r="CB14" s="256" t="str">
        <f t="shared" si="11"/>
        <v/>
      </c>
      <c r="CC14" s="256" t="str">
        <f t="shared" si="11"/>
        <v/>
      </c>
      <c r="CD14" s="256" t="str">
        <f t="shared" si="11"/>
        <v/>
      </c>
      <c r="CE14" s="256" t="str">
        <f t="shared" si="11"/>
        <v/>
      </c>
      <c r="CF14" s="256" t="str">
        <f t="shared" si="11"/>
        <v/>
      </c>
      <c r="CG14" s="256" t="str">
        <f t="shared" si="11"/>
        <v/>
      </c>
      <c r="CH14" s="256" t="str">
        <f t="shared" si="11"/>
        <v/>
      </c>
      <c r="CI14" s="256" t="str">
        <f t="shared" si="11"/>
        <v/>
      </c>
      <c r="CJ14" s="256" t="str">
        <f t="shared" si="11"/>
        <v/>
      </c>
      <c r="CK14" s="256" t="str">
        <f t="shared" si="11"/>
        <v/>
      </c>
      <c r="CL14" s="256" t="str">
        <f t="shared" si="11"/>
        <v/>
      </c>
      <c r="CM14" s="256" t="str">
        <f t="shared" si="11"/>
        <v/>
      </c>
      <c r="CN14" s="256" t="str">
        <f t="shared" si="11"/>
        <v/>
      </c>
      <c r="CO14" s="256" t="str">
        <f t="shared" si="11"/>
        <v/>
      </c>
      <c r="CP14" s="256" t="str">
        <f t="shared" si="11"/>
        <v/>
      </c>
      <c r="CQ14" s="256" t="str">
        <f t="shared" si="11"/>
        <v/>
      </c>
      <c r="CR14" s="256" t="str">
        <f t="shared" si="11"/>
        <v/>
      </c>
      <c r="CS14" s="256" t="str">
        <f t="shared" si="11"/>
        <v/>
      </c>
      <c r="CT14" s="256" t="str">
        <f t="shared" si="11"/>
        <v/>
      </c>
      <c r="CU14" s="256" t="str">
        <f t="shared" si="11"/>
        <v/>
      </c>
      <c r="CV14" s="256" t="str">
        <f t="shared" si="11"/>
        <v/>
      </c>
      <c r="CW14" s="256" t="str">
        <f t="shared" si="11"/>
        <v/>
      </c>
      <c r="CX14" s="256" t="str">
        <f t="shared" si="11"/>
        <v/>
      </c>
      <c r="CY14" s="256" t="str">
        <f t="shared" si="11"/>
        <v/>
      </c>
      <c r="CZ14" s="256" t="str">
        <f t="shared" si="11"/>
        <v/>
      </c>
      <c r="DA14" s="256" t="str">
        <f t="shared" si="11"/>
        <v/>
      </c>
      <c r="DB14" s="256" t="str">
        <f t="shared" si="11"/>
        <v/>
      </c>
      <c r="DC14" s="256" t="str">
        <f t="shared" si="11"/>
        <v/>
      </c>
      <c r="DD14" s="256" t="str">
        <f t="shared" si="11"/>
        <v/>
      </c>
      <c r="DE14" s="256" t="str">
        <f t="shared" si="11"/>
        <v/>
      </c>
      <c r="DF14" s="256" t="str">
        <f t="shared" si="11"/>
        <v/>
      </c>
      <c r="DG14" s="256" t="str">
        <f t="shared" si="11"/>
        <v/>
      </c>
      <c r="DH14" s="256" t="str">
        <f t="shared" si="11"/>
        <v/>
      </c>
      <c r="DI14" s="256" t="str">
        <f t="shared" si="11"/>
        <v/>
      </c>
      <c r="DJ14" s="256" t="str">
        <f t="shared" si="11"/>
        <v/>
      </c>
      <c r="DK14" s="256" t="str">
        <f t="shared" si="11"/>
        <v/>
      </c>
      <c r="DL14" s="256" t="str">
        <f t="shared" si="11"/>
        <v/>
      </c>
      <c r="DM14" s="256" t="str">
        <f t="shared" si="11"/>
        <v/>
      </c>
      <c r="DN14" s="256" t="str">
        <f t="shared" si="11"/>
        <v/>
      </c>
      <c r="DO14" s="256" t="str">
        <f t="shared" si="11"/>
        <v/>
      </c>
      <c r="DP14" s="256" t="str">
        <f t="shared" si="11"/>
        <v/>
      </c>
      <c r="DQ14" s="256" t="str">
        <f t="shared" si="11"/>
        <v/>
      </c>
      <c r="DR14" s="256" t="str">
        <f t="shared" si="11"/>
        <v/>
      </c>
      <c r="DS14" s="256" t="str">
        <f t="shared" si="11"/>
        <v/>
      </c>
      <c r="DT14" s="256" t="str">
        <f t="shared" si="11"/>
        <v/>
      </c>
      <c r="DU14" s="256" t="str">
        <f t="shared" si="11"/>
        <v/>
      </c>
      <c r="DV14" s="256" t="str">
        <f t="shared" si="11"/>
        <v/>
      </c>
      <c r="DW14" s="256" t="str">
        <f t="shared" si="11"/>
        <v/>
      </c>
      <c r="DX14" s="256" t="str">
        <f t="shared" si="5"/>
        <v/>
      </c>
      <c r="DY14" s="256" t="str">
        <f t="shared" si="5"/>
        <v/>
      </c>
      <c r="DZ14" s="256" t="str">
        <f t="shared" si="6"/>
        <v/>
      </c>
      <c r="EA14" s="256" t="str">
        <f t="shared" si="6"/>
        <v/>
      </c>
      <c r="EB14" s="256" t="str">
        <f t="shared" si="6"/>
        <v/>
      </c>
      <c r="EC14" s="256" t="str">
        <f t="shared" si="6"/>
        <v/>
      </c>
      <c r="ED14" s="256" t="str">
        <f t="shared" si="6"/>
        <v/>
      </c>
      <c r="EE14" s="256" t="str">
        <f t="shared" si="6"/>
        <v/>
      </c>
      <c r="EF14" s="256" t="str">
        <f t="shared" si="6"/>
        <v/>
      </c>
      <c r="EG14" s="256" t="str">
        <f t="shared" si="6"/>
        <v/>
      </c>
      <c r="EH14" s="256" t="str">
        <f t="shared" si="6"/>
        <v/>
      </c>
      <c r="EI14" s="256" t="str">
        <f t="shared" si="6"/>
        <v/>
      </c>
      <c r="EJ14" s="256" t="str">
        <f t="shared" si="6"/>
        <v/>
      </c>
      <c r="EK14" s="256" t="str">
        <f t="shared" si="6"/>
        <v/>
      </c>
      <c r="EL14" s="256" t="str">
        <f t="shared" si="6"/>
        <v/>
      </c>
      <c r="EM14" s="256" t="str">
        <f t="shared" si="6"/>
        <v/>
      </c>
      <c r="EN14" s="256" t="str">
        <f t="shared" si="6"/>
        <v/>
      </c>
      <c r="EO14" s="256" t="str">
        <f t="shared" si="6"/>
        <v/>
      </c>
      <c r="EP14" s="256" t="str">
        <f t="shared" si="6"/>
        <v/>
      </c>
      <c r="EQ14" s="256" t="str">
        <f t="shared" si="6"/>
        <v/>
      </c>
      <c r="ER14" s="256" t="str">
        <f t="shared" si="6"/>
        <v/>
      </c>
      <c r="ES14" s="256" t="str">
        <f t="shared" si="6"/>
        <v/>
      </c>
      <c r="ET14" s="256" t="str">
        <f t="shared" si="6"/>
        <v/>
      </c>
      <c r="EU14" s="256" t="str">
        <f t="shared" si="6"/>
        <v/>
      </c>
      <c r="EV14" s="256" t="str">
        <f t="shared" si="6"/>
        <v/>
      </c>
      <c r="EW14" s="256" t="str">
        <f t="shared" si="6"/>
        <v/>
      </c>
      <c r="EX14" s="256" t="str">
        <f t="shared" si="6"/>
        <v/>
      </c>
      <c r="EY14" s="256" t="str">
        <f t="shared" si="6"/>
        <v/>
      </c>
      <c r="EZ14" s="256" t="str">
        <f t="shared" si="6"/>
        <v/>
      </c>
      <c r="FA14" s="256" t="str">
        <f t="shared" si="6"/>
        <v/>
      </c>
      <c r="FB14" s="256" t="str">
        <f t="shared" si="7"/>
        <v/>
      </c>
      <c r="FC14" s="256" t="str">
        <f t="shared" si="7"/>
        <v/>
      </c>
      <c r="FD14" s="256" t="str">
        <f t="shared" si="6"/>
        <v/>
      </c>
      <c r="FE14" s="256" t="str">
        <f t="shared" si="6"/>
        <v/>
      </c>
      <c r="FF14" s="256" t="str">
        <f t="shared" si="6"/>
        <v/>
      </c>
      <c r="FG14" s="256" t="str">
        <f t="shared" si="6"/>
        <v/>
      </c>
      <c r="FH14" s="256" t="str">
        <f t="shared" si="6"/>
        <v/>
      </c>
      <c r="FI14" s="256" t="str">
        <f t="shared" si="6"/>
        <v/>
      </c>
      <c r="FJ14" s="256" t="str">
        <f t="shared" si="6"/>
        <v/>
      </c>
      <c r="FK14" s="256" t="str">
        <f t="shared" si="6"/>
        <v/>
      </c>
      <c r="FL14" s="256" t="str">
        <f t="shared" si="6"/>
        <v/>
      </c>
      <c r="FM14" s="256" t="str">
        <f t="shared" si="6"/>
        <v/>
      </c>
      <c r="FN14" s="256" t="str">
        <f t="shared" si="6"/>
        <v/>
      </c>
      <c r="FO14" s="256" t="str">
        <f t="shared" si="6"/>
        <v/>
      </c>
      <c r="FP14" s="256" t="str">
        <f t="shared" si="6"/>
        <v/>
      </c>
      <c r="FQ14" s="256" t="str">
        <f t="shared" si="6"/>
        <v/>
      </c>
      <c r="FR14" s="256" t="str">
        <f t="shared" si="6"/>
        <v/>
      </c>
      <c r="FS14" s="256" t="str">
        <f t="shared" si="6"/>
        <v/>
      </c>
      <c r="FT14" s="256" t="str">
        <f t="shared" si="6"/>
        <v/>
      </c>
      <c r="FU14" s="256" t="str">
        <f t="shared" si="6"/>
        <v/>
      </c>
      <c r="FV14" s="256" t="str">
        <f t="shared" si="6"/>
        <v/>
      </c>
      <c r="FW14" s="256" t="str">
        <f t="shared" si="6"/>
        <v/>
      </c>
      <c r="FX14" s="256" t="str">
        <f t="shared" si="6"/>
        <v/>
      </c>
      <c r="FY14" s="256" t="str">
        <f t="shared" si="6"/>
        <v/>
      </c>
      <c r="FZ14" s="256" t="str">
        <f t="shared" si="6"/>
        <v/>
      </c>
      <c r="GA14" s="256" t="str">
        <f t="shared" si="6"/>
        <v/>
      </c>
      <c r="GB14" s="256" t="str">
        <f t="shared" si="6"/>
        <v/>
      </c>
      <c r="GC14" s="256" t="str">
        <f t="shared" si="6"/>
        <v/>
      </c>
      <c r="GD14" s="256" t="str">
        <f t="shared" si="6"/>
        <v/>
      </c>
      <c r="GE14" s="256" t="str">
        <f t="shared" si="6"/>
        <v/>
      </c>
      <c r="GF14" s="256" t="str">
        <f t="shared" si="6"/>
        <v/>
      </c>
      <c r="GG14" s="256" t="str">
        <f t="shared" si="6"/>
        <v/>
      </c>
      <c r="GH14" s="256" t="str">
        <f t="shared" si="6"/>
        <v/>
      </c>
      <c r="GI14" s="256" t="str">
        <f t="shared" si="6"/>
        <v/>
      </c>
      <c r="GJ14" s="256" t="str">
        <f t="shared" si="6"/>
        <v/>
      </c>
      <c r="GK14" s="256" t="str">
        <f t="shared" ref="GK14:HJ16" si="12">IF(AND($C14="Goal",GK$8&gt;=$E14,GK$8&lt;=$E14+$F14-1),2,IF(AND($C14="Milestone",GK$8&gt;=$E14,GK$8&lt;=$E14+$F14-1),1,""))</f>
        <v/>
      </c>
      <c r="GL14" s="256" t="str">
        <f t="shared" si="12"/>
        <v/>
      </c>
      <c r="GM14" s="256" t="str">
        <f t="shared" si="12"/>
        <v/>
      </c>
      <c r="GN14" s="256" t="str">
        <f t="shared" si="12"/>
        <v/>
      </c>
      <c r="GO14" s="256" t="str">
        <f t="shared" si="12"/>
        <v/>
      </c>
      <c r="GP14" s="256" t="str">
        <f t="shared" si="12"/>
        <v/>
      </c>
      <c r="GQ14" s="256" t="str">
        <f t="shared" si="12"/>
        <v/>
      </c>
      <c r="GR14" s="256" t="str">
        <f t="shared" si="12"/>
        <v/>
      </c>
      <c r="GS14" s="256" t="str">
        <f t="shared" si="12"/>
        <v/>
      </c>
      <c r="GT14" s="256" t="str">
        <f t="shared" si="12"/>
        <v/>
      </c>
      <c r="GU14" s="256" t="str">
        <f t="shared" si="12"/>
        <v/>
      </c>
      <c r="GV14" s="256" t="str">
        <f t="shared" si="12"/>
        <v/>
      </c>
      <c r="GW14" s="256" t="str">
        <f t="shared" si="12"/>
        <v/>
      </c>
      <c r="GX14" s="256" t="str">
        <f t="shared" si="12"/>
        <v/>
      </c>
      <c r="GY14" s="256" t="str">
        <f t="shared" si="12"/>
        <v/>
      </c>
      <c r="GZ14" s="256" t="str">
        <f t="shared" si="12"/>
        <v/>
      </c>
      <c r="HA14" s="256" t="str">
        <f t="shared" si="12"/>
        <v/>
      </c>
      <c r="HB14" s="256" t="str">
        <f t="shared" si="12"/>
        <v/>
      </c>
      <c r="HC14" s="256" t="str">
        <f t="shared" si="12"/>
        <v/>
      </c>
      <c r="HD14" s="256" t="str">
        <f t="shared" si="12"/>
        <v/>
      </c>
      <c r="HE14" s="256" t="str">
        <f t="shared" si="12"/>
        <v/>
      </c>
      <c r="HF14" s="256" t="str">
        <f t="shared" si="12"/>
        <v/>
      </c>
      <c r="HG14" s="256" t="str">
        <f t="shared" si="12"/>
        <v/>
      </c>
      <c r="HH14" s="256" t="str">
        <f t="shared" si="12"/>
        <v/>
      </c>
      <c r="HI14" s="256" t="str">
        <f t="shared" si="12"/>
        <v/>
      </c>
      <c r="HJ14" s="256" t="str">
        <f t="shared" si="12"/>
        <v/>
      </c>
    </row>
    <row r="15" spans="1:218" s="134" customFormat="1" ht="40.200000000000003" customHeight="1">
      <c r="A15" s="100"/>
      <c r="B15" s="257" t="s">
        <v>149</v>
      </c>
      <c r="C15" s="136" t="s">
        <v>432</v>
      </c>
      <c r="D15" s="144"/>
      <c r="E15" s="143"/>
      <c r="F15" s="142"/>
      <c r="G15" s="136"/>
      <c r="H15" s="141" t="str">
        <f t="shared" si="10"/>
        <v/>
      </c>
      <c r="I15" s="141" t="str">
        <f>IF(AND($C15="Goal",I$8&gt;=$E15,I$8&lt;=$E15+$F15-1),2,IF(AND($C15="Milestone",I$8&gt;=$E15,I$8&lt;=$E15+$F15-1),1,""))</f>
        <v/>
      </c>
      <c r="J15" s="141" t="str">
        <f t="shared" si="0"/>
        <v/>
      </c>
      <c r="K15" s="256" t="str">
        <f t="shared" si="0"/>
        <v/>
      </c>
      <c r="L15" s="256" t="str">
        <f t="shared" si="0"/>
        <v/>
      </c>
      <c r="M15" s="141" t="str">
        <f t="shared" si="0"/>
        <v/>
      </c>
      <c r="N15" s="141" t="str">
        <f t="shared" si="0"/>
        <v/>
      </c>
      <c r="O15" s="141" t="str">
        <f t="shared" si="0"/>
        <v/>
      </c>
      <c r="P15" s="141" t="str">
        <f t="shared" si="0"/>
        <v/>
      </c>
      <c r="Q15" s="141" t="str">
        <f t="shared" si="0"/>
        <v/>
      </c>
      <c r="R15" s="141" t="str">
        <f t="shared" si="0"/>
        <v/>
      </c>
      <c r="S15" s="141" t="str">
        <f t="shared" si="0"/>
        <v/>
      </c>
      <c r="T15" s="141" t="str">
        <f t="shared" si="1"/>
        <v/>
      </c>
      <c r="U15" s="141" t="str">
        <f t="shared" si="1"/>
        <v/>
      </c>
      <c r="V15" s="141" t="str">
        <f t="shared" si="1"/>
        <v/>
      </c>
      <c r="W15" s="141" t="str">
        <f t="shared" si="1"/>
        <v/>
      </c>
      <c r="X15" s="141" t="str">
        <f t="shared" si="1"/>
        <v/>
      </c>
      <c r="Y15" s="141" t="str">
        <f t="shared" si="1"/>
        <v/>
      </c>
      <c r="Z15" s="141" t="str">
        <f t="shared" si="1"/>
        <v/>
      </c>
      <c r="AA15" s="141" t="str">
        <f t="shared" si="1"/>
        <v/>
      </c>
      <c r="AB15" s="141" t="str">
        <f t="shared" si="1"/>
        <v/>
      </c>
      <c r="AC15" s="141" t="str">
        <f t="shared" si="1"/>
        <v/>
      </c>
      <c r="AD15" s="141" t="str">
        <f t="shared" si="2"/>
        <v/>
      </c>
      <c r="AE15" s="141" t="str">
        <f t="shared" si="2"/>
        <v/>
      </c>
      <c r="AF15" s="141" t="str">
        <f t="shared" si="2"/>
        <v/>
      </c>
      <c r="AG15" s="141" t="str">
        <f t="shared" si="2"/>
        <v/>
      </c>
      <c r="AH15" s="141" t="str">
        <f t="shared" si="2"/>
        <v/>
      </c>
      <c r="AI15" s="141" t="str">
        <f t="shared" si="2"/>
        <v/>
      </c>
      <c r="AJ15" s="141" t="str">
        <f t="shared" si="2"/>
        <v/>
      </c>
      <c r="AK15" s="141" t="str">
        <f t="shared" si="2"/>
        <v/>
      </c>
      <c r="AL15" s="141" t="str">
        <f t="shared" si="2"/>
        <v/>
      </c>
      <c r="AM15" s="141" t="str">
        <f t="shared" si="2"/>
        <v/>
      </c>
      <c r="AN15" s="141" t="str">
        <f t="shared" si="3"/>
        <v/>
      </c>
      <c r="AO15" s="141" t="str">
        <f t="shared" si="3"/>
        <v/>
      </c>
      <c r="AP15" s="141" t="str">
        <f t="shared" si="3"/>
        <v/>
      </c>
      <c r="AQ15" s="141" t="str">
        <f t="shared" si="3"/>
        <v/>
      </c>
      <c r="AR15" s="141" t="str">
        <f t="shared" si="3"/>
        <v/>
      </c>
      <c r="AS15" s="141" t="str">
        <f t="shared" si="3"/>
        <v/>
      </c>
      <c r="AT15" s="141" t="str">
        <f t="shared" si="3"/>
        <v/>
      </c>
      <c r="AU15" s="141" t="str">
        <f t="shared" si="3"/>
        <v/>
      </c>
      <c r="AV15" s="141" t="str">
        <f t="shared" si="3"/>
        <v/>
      </c>
      <c r="AW15" s="141" t="str">
        <f t="shared" si="3"/>
        <v/>
      </c>
      <c r="AX15" s="141" t="str">
        <f t="shared" si="4"/>
        <v/>
      </c>
      <c r="AY15" s="141" t="str">
        <f t="shared" si="4"/>
        <v/>
      </c>
      <c r="AZ15" s="141" t="str">
        <f t="shared" si="4"/>
        <v/>
      </c>
      <c r="BA15" s="141" t="str">
        <f t="shared" si="4"/>
        <v/>
      </c>
      <c r="BB15" s="141" t="str">
        <f t="shared" si="4"/>
        <v/>
      </c>
      <c r="BC15" s="141" t="str">
        <f t="shared" si="4"/>
        <v/>
      </c>
      <c r="BD15" s="141" t="str">
        <f t="shared" si="4"/>
        <v/>
      </c>
      <c r="BE15" s="141" t="str">
        <f t="shared" si="4"/>
        <v/>
      </c>
      <c r="BF15" s="141" t="str">
        <f t="shared" si="4"/>
        <v/>
      </c>
      <c r="BG15" s="141" t="str">
        <f t="shared" si="4"/>
        <v/>
      </c>
      <c r="BH15" s="141" t="str">
        <f t="shared" si="4"/>
        <v/>
      </c>
      <c r="BI15" s="141" t="str">
        <f t="shared" si="4"/>
        <v/>
      </c>
      <c r="BJ15" s="256" t="str">
        <f t="shared" si="4"/>
        <v/>
      </c>
      <c r="BK15" s="256" t="str">
        <f t="shared" si="4"/>
        <v/>
      </c>
      <c r="BL15" s="256" t="str">
        <f t="shared" si="11"/>
        <v/>
      </c>
      <c r="BM15" s="256" t="str">
        <f t="shared" si="11"/>
        <v/>
      </c>
      <c r="BN15" s="256" t="str">
        <f t="shared" si="11"/>
        <v/>
      </c>
      <c r="BO15" s="256" t="str">
        <f t="shared" si="11"/>
        <v/>
      </c>
      <c r="BP15" s="256" t="str">
        <f t="shared" si="11"/>
        <v/>
      </c>
      <c r="BQ15" s="256" t="str">
        <f t="shared" si="11"/>
        <v/>
      </c>
      <c r="BR15" s="256" t="str">
        <f t="shared" si="11"/>
        <v/>
      </c>
      <c r="BS15" s="256" t="str">
        <f t="shared" si="11"/>
        <v/>
      </c>
      <c r="BT15" s="256" t="str">
        <f t="shared" si="11"/>
        <v/>
      </c>
      <c r="BU15" s="256" t="str">
        <f t="shared" si="11"/>
        <v/>
      </c>
      <c r="BV15" s="256" t="str">
        <f t="shared" si="11"/>
        <v/>
      </c>
      <c r="BW15" s="256" t="str">
        <f t="shared" si="11"/>
        <v/>
      </c>
      <c r="BX15" s="256" t="str">
        <f t="shared" si="11"/>
        <v/>
      </c>
      <c r="BY15" s="256" t="str">
        <f t="shared" si="11"/>
        <v/>
      </c>
      <c r="BZ15" s="256" t="str">
        <f t="shared" si="11"/>
        <v/>
      </c>
      <c r="CA15" s="256" t="str">
        <f t="shared" si="11"/>
        <v/>
      </c>
      <c r="CB15" s="256" t="str">
        <f t="shared" si="11"/>
        <v/>
      </c>
      <c r="CC15" s="256" t="str">
        <f t="shared" si="11"/>
        <v/>
      </c>
      <c r="CD15" s="256" t="str">
        <f t="shared" si="11"/>
        <v/>
      </c>
      <c r="CE15" s="256" t="str">
        <f t="shared" si="11"/>
        <v/>
      </c>
      <c r="CF15" s="256" t="str">
        <f t="shared" si="11"/>
        <v/>
      </c>
      <c r="CG15" s="256" t="str">
        <f t="shared" si="11"/>
        <v/>
      </c>
      <c r="CH15" s="256" t="str">
        <f t="shared" si="11"/>
        <v/>
      </c>
      <c r="CI15" s="256" t="str">
        <f t="shared" si="11"/>
        <v/>
      </c>
      <c r="CJ15" s="256" t="str">
        <f t="shared" si="11"/>
        <v/>
      </c>
      <c r="CK15" s="256" t="str">
        <f t="shared" si="11"/>
        <v/>
      </c>
      <c r="CL15" s="256" t="str">
        <f t="shared" si="11"/>
        <v/>
      </c>
      <c r="CM15" s="256" t="str">
        <f t="shared" si="11"/>
        <v/>
      </c>
      <c r="CN15" s="256" t="str">
        <f t="shared" si="11"/>
        <v/>
      </c>
      <c r="CO15" s="256" t="str">
        <f t="shared" si="11"/>
        <v/>
      </c>
      <c r="CP15" s="256" t="str">
        <f t="shared" si="11"/>
        <v/>
      </c>
      <c r="CQ15" s="256" t="str">
        <f t="shared" si="11"/>
        <v/>
      </c>
      <c r="CR15" s="256" t="str">
        <f t="shared" si="11"/>
        <v/>
      </c>
      <c r="CS15" s="256" t="str">
        <f t="shared" si="11"/>
        <v/>
      </c>
      <c r="CT15" s="256" t="str">
        <f t="shared" si="11"/>
        <v/>
      </c>
      <c r="CU15" s="256" t="str">
        <f t="shared" si="11"/>
        <v/>
      </c>
      <c r="CV15" s="256" t="str">
        <f t="shared" si="11"/>
        <v/>
      </c>
      <c r="CW15" s="256" t="str">
        <f t="shared" si="11"/>
        <v/>
      </c>
      <c r="CX15" s="256" t="str">
        <f t="shared" si="11"/>
        <v/>
      </c>
      <c r="CY15" s="256" t="str">
        <f t="shared" si="11"/>
        <v/>
      </c>
      <c r="CZ15" s="256" t="str">
        <f t="shared" si="11"/>
        <v/>
      </c>
      <c r="DA15" s="256" t="str">
        <f t="shared" si="11"/>
        <v/>
      </c>
      <c r="DB15" s="256" t="str">
        <f t="shared" si="11"/>
        <v/>
      </c>
      <c r="DC15" s="256" t="str">
        <f t="shared" si="11"/>
        <v/>
      </c>
      <c r="DD15" s="256" t="str">
        <f t="shared" si="11"/>
        <v/>
      </c>
      <c r="DE15" s="256" t="str">
        <f t="shared" si="11"/>
        <v/>
      </c>
      <c r="DF15" s="256" t="str">
        <f t="shared" si="11"/>
        <v/>
      </c>
      <c r="DG15" s="256" t="str">
        <f t="shared" si="11"/>
        <v/>
      </c>
      <c r="DH15" s="256" t="str">
        <f t="shared" si="11"/>
        <v/>
      </c>
      <c r="DI15" s="256" t="str">
        <f t="shared" si="11"/>
        <v/>
      </c>
      <c r="DJ15" s="256" t="str">
        <f t="shared" si="11"/>
        <v/>
      </c>
      <c r="DK15" s="256" t="str">
        <f t="shared" si="11"/>
        <v/>
      </c>
      <c r="DL15" s="256" t="str">
        <f t="shared" si="11"/>
        <v/>
      </c>
      <c r="DM15" s="256" t="str">
        <f t="shared" si="11"/>
        <v/>
      </c>
      <c r="DN15" s="256" t="str">
        <f t="shared" si="11"/>
        <v/>
      </c>
      <c r="DO15" s="256" t="str">
        <f t="shared" si="11"/>
        <v/>
      </c>
      <c r="DP15" s="256" t="str">
        <f t="shared" si="11"/>
        <v/>
      </c>
      <c r="DQ15" s="256" t="str">
        <f t="shared" si="11"/>
        <v/>
      </c>
      <c r="DR15" s="256" t="str">
        <f t="shared" si="11"/>
        <v/>
      </c>
      <c r="DS15" s="256" t="str">
        <f t="shared" si="11"/>
        <v/>
      </c>
      <c r="DT15" s="256" t="str">
        <f t="shared" si="11"/>
        <v/>
      </c>
      <c r="DU15" s="256" t="str">
        <f t="shared" si="11"/>
        <v/>
      </c>
      <c r="DV15" s="256" t="str">
        <f t="shared" si="11"/>
        <v/>
      </c>
      <c r="DW15" s="256" t="str">
        <f t="shared" ref="DW15:GH16" si="13">IF(AND($C15="Goal",DW$8&gt;=$E15,DW$8&lt;=$E15+$F15-1),2,IF(AND($C15="Milestone",DW$8&gt;=$E15,DW$8&lt;=$E15+$F15-1),1,""))</f>
        <v/>
      </c>
      <c r="DX15" s="256" t="str">
        <f t="shared" si="13"/>
        <v/>
      </c>
      <c r="DY15" s="256" t="str">
        <f t="shared" si="13"/>
        <v/>
      </c>
      <c r="DZ15" s="256" t="str">
        <f t="shared" si="13"/>
        <v/>
      </c>
      <c r="EA15" s="256" t="str">
        <f t="shared" si="13"/>
        <v/>
      </c>
      <c r="EB15" s="256" t="str">
        <f t="shared" si="13"/>
        <v/>
      </c>
      <c r="EC15" s="256" t="str">
        <f t="shared" si="13"/>
        <v/>
      </c>
      <c r="ED15" s="256" t="str">
        <f t="shared" si="13"/>
        <v/>
      </c>
      <c r="EE15" s="256" t="str">
        <f t="shared" si="13"/>
        <v/>
      </c>
      <c r="EF15" s="256" t="str">
        <f t="shared" si="13"/>
        <v/>
      </c>
      <c r="EG15" s="256" t="str">
        <f t="shared" si="13"/>
        <v/>
      </c>
      <c r="EH15" s="256" t="str">
        <f t="shared" si="13"/>
        <v/>
      </c>
      <c r="EI15" s="256" t="str">
        <f t="shared" si="13"/>
        <v/>
      </c>
      <c r="EJ15" s="256" t="str">
        <f t="shared" si="13"/>
        <v/>
      </c>
      <c r="EK15" s="256" t="str">
        <f t="shared" si="13"/>
        <v/>
      </c>
      <c r="EL15" s="256" t="str">
        <f t="shared" si="13"/>
        <v/>
      </c>
      <c r="EM15" s="256" t="str">
        <f t="shared" si="13"/>
        <v/>
      </c>
      <c r="EN15" s="256" t="str">
        <f t="shared" si="13"/>
        <v/>
      </c>
      <c r="EO15" s="256" t="str">
        <f t="shared" si="13"/>
        <v/>
      </c>
      <c r="EP15" s="256" t="str">
        <f t="shared" si="13"/>
        <v/>
      </c>
      <c r="EQ15" s="256" t="str">
        <f t="shared" si="13"/>
        <v/>
      </c>
      <c r="ER15" s="256" t="str">
        <f t="shared" si="13"/>
        <v/>
      </c>
      <c r="ES15" s="256" t="str">
        <f t="shared" si="13"/>
        <v/>
      </c>
      <c r="ET15" s="256" t="str">
        <f t="shared" si="13"/>
        <v/>
      </c>
      <c r="EU15" s="256" t="str">
        <f t="shared" si="13"/>
        <v/>
      </c>
      <c r="EV15" s="256" t="str">
        <f t="shared" si="13"/>
        <v/>
      </c>
      <c r="EW15" s="256" t="str">
        <f t="shared" si="13"/>
        <v/>
      </c>
      <c r="EX15" s="256" t="str">
        <f t="shared" si="13"/>
        <v/>
      </c>
      <c r="EY15" s="256" t="str">
        <f t="shared" si="13"/>
        <v/>
      </c>
      <c r="EZ15" s="256" t="str">
        <f t="shared" si="13"/>
        <v/>
      </c>
      <c r="FA15" s="256" t="str">
        <f t="shared" si="13"/>
        <v/>
      </c>
      <c r="FB15" s="256" t="str">
        <f t="shared" si="7"/>
        <v/>
      </c>
      <c r="FC15" s="256" t="str">
        <f t="shared" si="7"/>
        <v/>
      </c>
      <c r="FD15" s="256" t="str">
        <f t="shared" si="13"/>
        <v/>
      </c>
      <c r="FE15" s="256" t="str">
        <f t="shared" si="13"/>
        <v/>
      </c>
      <c r="FF15" s="256" t="str">
        <f t="shared" si="13"/>
        <v/>
      </c>
      <c r="FG15" s="256" t="str">
        <f t="shared" si="13"/>
        <v/>
      </c>
      <c r="FH15" s="256" t="str">
        <f t="shared" si="13"/>
        <v/>
      </c>
      <c r="FI15" s="256" t="str">
        <f t="shared" si="13"/>
        <v/>
      </c>
      <c r="FJ15" s="256" t="str">
        <f t="shared" si="13"/>
        <v/>
      </c>
      <c r="FK15" s="256" t="str">
        <f t="shared" si="13"/>
        <v/>
      </c>
      <c r="FL15" s="256" t="str">
        <f t="shared" si="13"/>
        <v/>
      </c>
      <c r="FM15" s="256" t="str">
        <f t="shared" si="13"/>
        <v/>
      </c>
      <c r="FN15" s="256" t="str">
        <f t="shared" si="13"/>
        <v/>
      </c>
      <c r="FO15" s="256" t="str">
        <f t="shared" si="13"/>
        <v/>
      </c>
      <c r="FP15" s="256" t="str">
        <f t="shared" si="13"/>
        <v/>
      </c>
      <c r="FQ15" s="256" t="str">
        <f t="shared" si="13"/>
        <v/>
      </c>
      <c r="FR15" s="256" t="str">
        <f t="shared" si="13"/>
        <v/>
      </c>
      <c r="FS15" s="256" t="str">
        <f t="shared" si="13"/>
        <v/>
      </c>
      <c r="FT15" s="256" t="str">
        <f t="shared" si="13"/>
        <v/>
      </c>
      <c r="FU15" s="256" t="str">
        <f t="shared" si="13"/>
        <v/>
      </c>
      <c r="FV15" s="256" t="str">
        <f t="shared" si="13"/>
        <v/>
      </c>
      <c r="FW15" s="256" t="str">
        <f t="shared" si="13"/>
        <v/>
      </c>
      <c r="FX15" s="256" t="str">
        <f t="shared" si="13"/>
        <v/>
      </c>
      <c r="FY15" s="256" t="str">
        <f t="shared" si="13"/>
        <v/>
      </c>
      <c r="FZ15" s="256" t="str">
        <f t="shared" si="13"/>
        <v/>
      </c>
      <c r="GA15" s="256" t="str">
        <f t="shared" si="13"/>
        <v/>
      </c>
      <c r="GB15" s="256" t="str">
        <f t="shared" si="13"/>
        <v/>
      </c>
      <c r="GC15" s="256" t="str">
        <f t="shared" si="13"/>
        <v/>
      </c>
      <c r="GD15" s="256" t="str">
        <f t="shared" si="13"/>
        <v/>
      </c>
      <c r="GE15" s="256" t="str">
        <f t="shared" si="13"/>
        <v/>
      </c>
      <c r="GF15" s="256" t="str">
        <f t="shared" si="13"/>
        <v/>
      </c>
      <c r="GG15" s="256" t="str">
        <f t="shared" si="13"/>
        <v/>
      </c>
      <c r="GH15" s="256" t="str">
        <f t="shared" si="13"/>
        <v/>
      </c>
      <c r="GI15" s="256" t="str">
        <f t="shared" ref="GI15:HF16" si="14">IF(AND($C15="Goal",GI$8&gt;=$E15,GI$8&lt;=$E15+$F15-1),2,IF(AND($C15="Milestone",GI$8&gt;=$E15,GI$8&lt;=$E15+$F15-1),1,""))</f>
        <v/>
      </c>
      <c r="GJ15" s="256" t="str">
        <f t="shared" si="14"/>
        <v/>
      </c>
      <c r="GK15" s="256" t="str">
        <f t="shared" si="14"/>
        <v/>
      </c>
      <c r="GL15" s="256" t="str">
        <f t="shared" si="14"/>
        <v/>
      </c>
      <c r="GM15" s="256" t="str">
        <f t="shared" si="14"/>
        <v/>
      </c>
      <c r="GN15" s="256" t="str">
        <f t="shared" si="14"/>
        <v/>
      </c>
      <c r="GO15" s="256" t="str">
        <f t="shared" si="14"/>
        <v/>
      </c>
      <c r="GP15" s="256" t="str">
        <f t="shared" si="14"/>
        <v/>
      </c>
      <c r="GQ15" s="256" t="str">
        <f t="shared" si="14"/>
        <v/>
      </c>
      <c r="GR15" s="256" t="str">
        <f t="shared" si="14"/>
        <v/>
      </c>
      <c r="GS15" s="256" t="str">
        <f t="shared" si="14"/>
        <v/>
      </c>
      <c r="GT15" s="256" t="str">
        <f t="shared" si="14"/>
        <v/>
      </c>
      <c r="GU15" s="256" t="str">
        <f t="shared" si="14"/>
        <v/>
      </c>
      <c r="GV15" s="256" t="str">
        <f t="shared" si="14"/>
        <v/>
      </c>
      <c r="GW15" s="256" t="str">
        <f t="shared" si="14"/>
        <v/>
      </c>
      <c r="GX15" s="256" t="str">
        <f t="shared" si="14"/>
        <v/>
      </c>
      <c r="GY15" s="256" t="str">
        <f t="shared" si="14"/>
        <v/>
      </c>
      <c r="GZ15" s="256" t="str">
        <f t="shared" si="14"/>
        <v/>
      </c>
      <c r="HA15" s="256" t="str">
        <f t="shared" si="14"/>
        <v/>
      </c>
      <c r="HB15" s="256" t="str">
        <f t="shared" si="14"/>
        <v/>
      </c>
      <c r="HC15" s="256" t="str">
        <f t="shared" si="14"/>
        <v/>
      </c>
      <c r="HD15" s="256" t="str">
        <f t="shared" si="14"/>
        <v/>
      </c>
      <c r="HE15" s="256" t="str">
        <f t="shared" si="14"/>
        <v/>
      </c>
      <c r="HF15" s="256" t="str">
        <f t="shared" si="14"/>
        <v/>
      </c>
      <c r="HG15" s="256" t="str">
        <f t="shared" si="12"/>
        <v/>
      </c>
      <c r="HH15" s="256" t="str">
        <f t="shared" si="12"/>
        <v/>
      </c>
      <c r="HI15" s="256" t="str">
        <f t="shared" si="12"/>
        <v/>
      </c>
      <c r="HJ15" s="256" t="str">
        <f t="shared" si="12"/>
        <v/>
      </c>
    </row>
    <row r="16" spans="1:218" s="134" customFormat="1" ht="40.200000000000003" customHeight="1">
      <c r="A16" s="100"/>
      <c r="B16" s="257" t="s">
        <v>434</v>
      </c>
      <c r="C16" s="136" t="s">
        <v>432</v>
      </c>
      <c r="D16" s="144">
        <v>0.6</v>
      </c>
      <c r="E16" s="143">
        <f>E11+6</f>
        <v>45968</v>
      </c>
      <c r="F16" s="142">
        <v>13</v>
      </c>
      <c r="G16" s="136"/>
      <c r="H16" s="141" t="str">
        <f t="shared" si="10"/>
        <v/>
      </c>
      <c r="I16" s="141" t="str">
        <f>IF(AND($C16="Goal",I$8&gt;=$E16,I$8&lt;=$E16+$F16-1),2,IF(AND($C16="Milestone",I$8&gt;=$E16,I$8&lt;=$E16+$F16-1),1,""))</f>
        <v/>
      </c>
      <c r="J16" s="141" t="str">
        <f t="shared" si="0"/>
        <v/>
      </c>
      <c r="K16" s="256" t="str">
        <f t="shared" si="0"/>
        <v/>
      </c>
      <c r="L16" s="256" t="str">
        <f t="shared" si="0"/>
        <v/>
      </c>
      <c r="M16" s="141" t="str">
        <f t="shared" si="0"/>
        <v/>
      </c>
      <c r="N16" s="141" t="str">
        <f t="shared" si="0"/>
        <v/>
      </c>
      <c r="O16" s="141" t="str">
        <f t="shared" si="0"/>
        <v/>
      </c>
      <c r="P16" s="141" t="str">
        <f t="shared" si="0"/>
        <v/>
      </c>
      <c r="Q16" s="141" t="str">
        <f t="shared" si="0"/>
        <v/>
      </c>
      <c r="R16" s="141" t="str">
        <f t="shared" si="0"/>
        <v/>
      </c>
      <c r="S16" s="141" t="str">
        <f t="shared" si="0"/>
        <v/>
      </c>
      <c r="T16" s="141" t="str">
        <f t="shared" si="1"/>
        <v/>
      </c>
      <c r="U16" s="141" t="str">
        <f t="shared" si="1"/>
        <v/>
      </c>
      <c r="V16" s="141" t="str">
        <f t="shared" si="1"/>
        <v/>
      </c>
      <c r="W16" s="141" t="str">
        <f t="shared" si="1"/>
        <v/>
      </c>
      <c r="X16" s="141" t="str">
        <f t="shared" si="1"/>
        <v/>
      </c>
      <c r="Y16" s="141" t="str">
        <f t="shared" si="1"/>
        <v/>
      </c>
      <c r="Z16" s="141" t="str">
        <f t="shared" si="1"/>
        <v/>
      </c>
      <c r="AA16" s="141" t="str">
        <f t="shared" si="1"/>
        <v/>
      </c>
      <c r="AB16" s="141" t="str">
        <f t="shared" si="1"/>
        <v/>
      </c>
      <c r="AC16" s="141" t="str">
        <f t="shared" si="1"/>
        <v/>
      </c>
      <c r="AD16" s="141" t="str">
        <f t="shared" si="2"/>
        <v/>
      </c>
      <c r="AE16" s="141" t="str">
        <f t="shared" si="2"/>
        <v/>
      </c>
      <c r="AF16" s="141" t="str">
        <f t="shared" si="2"/>
        <v/>
      </c>
      <c r="AG16" s="141" t="str">
        <f t="shared" si="2"/>
        <v/>
      </c>
      <c r="AH16" s="141" t="str">
        <f t="shared" si="2"/>
        <v/>
      </c>
      <c r="AI16" s="141" t="str">
        <f t="shared" si="2"/>
        <v/>
      </c>
      <c r="AJ16" s="141" t="str">
        <f t="shared" si="2"/>
        <v/>
      </c>
      <c r="AK16" s="141" t="str">
        <f t="shared" si="2"/>
        <v/>
      </c>
      <c r="AL16" s="141" t="str">
        <f t="shared" si="2"/>
        <v/>
      </c>
      <c r="AM16" s="141" t="str">
        <f t="shared" si="2"/>
        <v/>
      </c>
      <c r="AN16" s="141" t="str">
        <f t="shared" si="3"/>
        <v/>
      </c>
      <c r="AO16" s="141" t="str">
        <f t="shared" si="3"/>
        <v/>
      </c>
      <c r="AP16" s="141" t="str">
        <f t="shared" si="3"/>
        <v/>
      </c>
      <c r="AQ16" s="141" t="str">
        <f t="shared" si="3"/>
        <v/>
      </c>
      <c r="AR16" s="141" t="str">
        <f t="shared" si="3"/>
        <v/>
      </c>
      <c r="AS16" s="141" t="str">
        <f t="shared" si="3"/>
        <v/>
      </c>
      <c r="AT16" s="141" t="str">
        <f t="shared" si="3"/>
        <v/>
      </c>
      <c r="AU16" s="141" t="str">
        <f t="shared" si="3"/>
        <v/>
      </c>
      <c r="AV16" s="141" t="str">
        <f t="shared" si="3"/>
        <v/>
      </c>
      <c r="AW16" s="141" t="str">
        <f t="shared" si="3"/>
        <v/>
      </c>
      <c r="AX16" s="141" t="str">
        <f t="shared" si="4"/>
        <v/>
      </c>
      <c r="AY16" s="141" t="str">
        <f t="shared" si="4"/>
        <v/>
      </c>
      <c r="AZ16" s="141" t="str">
        <f t="shared" si="4"/>
        <v/>
      </c>
      <c r="BA16" s="141" t="str">
        <f t="shared" si="4"/>
        <v/>
      </c>
      <c r="BB16" s="141" t="str">
        <f t="shared" si="4"/>
        <v/>
      </c>
      <c r="BC16" s="141" t="str">
        <f t="shared" si="4"/>
        <v/>
      </c>
      <c r="BD16" s="141" t="str">
        <f t="shared" si="4"/>
        <v/>
      </c>
      <c r="BE16" s="141" t="str">
        <f t="shared" si="4"/>
        <v/>
      </c>
      <c r="BF16" s="141" t="str">
        <f t="shared" si="4"/>
        <v/>
      </c>
      <c r="BG16" s="141" t="str">
        <f t="shared" si="4"/>
        <v/>
      </c>
      <c r="BH16" s="141" t="str">
        <f t="shared" si="4"/>
        <v/>
      </c>
      <c r="BI16" s="141" t="str">
        <f t="shared" si="4"/>
        <v/>
      </c>
      <c r="BJ16" s="256" t="str">
        <f t="shared" si="4"/>
        <v/>
      </c>
      <c r="BK16" s="256" t="str">
        <f t="shared" si="4"/>
        <v/>
      </c>
      <c r="BL16" s="256" t="str">
        <f t="shared" ref="BL16:DW16" si="15">IF(AND($C16="Goal",BL$8&gt;=$E16,BL$8&lt;=$E16+$F16-1),2,IF(AND($C16="Milestone",BL$8&gt;=$E16,BL$8&lt;=$E16+$F16-1),1,""))</f>
        <v/>
      </c>
      <c r="BM16" s="256" t="str">
        <f t="shared" si="15"/>
        <v/>
      </c>
      <c r="BN16" s="256" t="str">
        <f t="shared" si="15"/>
        <v/>
      </c>
      <c r="BO16" s="256" t="str">
        <f t="shared" si="15"/>
        <v/>
      </c>
      <c r="BP16" s="256" t="str">
        <f t="shared" si="15"/>
        <v/>
      </c>
      <c r="BQ16" s="256" t="str">
        <f t="shared" si="15"/>
        <v/>
      </c>
      <c r="BR16" s="256" t="str">
        <f t="shared" si="15"/>
        <v/>
      </c>
      <c r="BS16" s="256" t="str">
        <f t="shared" si="15"/>
        <v/>
      </c>
      <c r="BT16" s="256" t="str">
        <f t="shared" si="15"/>
        <v/>
      </c>
      <c r="BU16" s="256" t="str">
        <f t="shared" si="15"/>
        <v/>
      </c>
      <c r="BV16" s="256" t="str">
        <f t="shared" si="15"/>
        <v/>
      </c>
      <c r="BW16" s="256" t="str">
        <f t="shared" si="15"/>
        <v/>
      </c>
      <c r="BX16" s="256" t="str">
        <f t="shared" si="15"/>
        <v/>
      </c>
      <c r="BY16" s="256" t="str">
        <f t="shared" si="15"/>
        <v/>
      </c>
      <c r="BZ16" s="256" t="str">
        <f t="shared" si="15"/>
        <v/>
      </c>
      <c r="CA16" s="256" t="str">
        <f t="shared" si="15"/>
        <v/>
      </c>
      <c r="CB16" s="256" t="str">
        <f t="shared" si="15"/>
        <v/>
      </c>
      <c r="CC16" s="256" t="str">
        <f t="shared" si="15"/>
        <v/>
      </c>
      <c r="CD16" s="256" t="str">
        <f t="shared" si="15"/>
        <v/>
      </c>
      <c r="CE16" s="256" t="str">
        <f t="shared" si="15"/>
        <v/>
      </c>
      <c r="CF16" s="256" t="str">
        <f t="shared" si="15"/>
        <v/>
      </c>
      <c r="CG16" s="256" t="str">
        <f t="shared" si="15"/>
        <v/>
      </c>
      <c r="CH16" s="256" t="str">
        <f t="shared" si="15"/>
        <v/>
      </c>
      <c r="CI16" s="256" t="str">
        <f t="shared" si="15"/>
        <v/>
      </c>
      <c r="CJ16" s="256" t="str">
        <f t="shared" si="15"/>
        <v/>
      </c>
      <c r="CK16" s="256" t="str">
        <f t="shared" si="15"/>
        <v/>
      </c>
      <c r="CL16" s="256" t="str">
        <f t="shared" si="15"/>
        <v/>
      </c>
      <c r="CM16" s="256" t="str">
        <f t="shared" si="15"/>
        <v/>
      </c>
      <c r="CN16" s="256" t="str">
        <f t="shared" si="15"/>
        <v/>
      </c>
      <c r="CO16" s="256" t="str">
        <f t="shared" si="15"/>
        <v/>
      </c>
      <c r="CP16" s="256" t="str">
        <f t="shared" si="15"/>
        <v/>
      </c>
      <c r="CQ16" s="256" t="str">
        <f t="shared" si="15"/>
        <v/>
      </c>
      <c r="CR16" s="256" t="str">
        <f t="shared" si="15"/>
        <v/>
      </c>
      <c r="CS16" s="256" t="str">
        <f t="shared" si="15"/>
        <v/>
      </c>
      <c r="CT16" s="256" t="str">
        <f t="shared" si="15"/>
        <v/>
      </c>
      <c r="CU16" s="256" t="str">
        <f t="shared" si="15"/>
        <v/>
      </c>
      <c r="CV16" s="256" t="str">
        <f t="shared" si="15"/>
        <v/>
      </c>
      <c r="CW16" s="256" t="str">
        <f t="shared" si="15"/>
        <v/>
      </c>
      <c r="CX16" s="256" t="str">
        <f t="shared" si="15"/>
        <v/>
      </c>
      <c r="CY16" s="256" t="str">
        <f t="shared" si="15"/>
        <v/>
      </c>
      <c r="CZ16" s="256" t="str">
        <f t="shared" si="15"/>
        <v/>
      </c>
      <c r="DA16" s="256" t="str">
        <f t="shared" si="15"/>
        <v/>
      </c>
      <c r="DB16" s="256" t="str">
        <f t="shared" si="15"/>
        <v/>
      </c>
      <c r="DC16" s="256" t="str">
        <f t="shared" si="15"/>
        <v/>
      </c>
      <c r="DD16" s="256" t="str">
        <f t="shared" si="15"/>
        <v/>
      </c>
      <c r="DE16" s="256" t="str">
        <f t="shared" si="15"/>
        <v/>
      </c>
      <c r="DF16" s="256" t="str">
        <f t="shared" si="15"/>
        <v/>
      </c>
      <c r="DG16" s="256" t="str">
        <f t="shared" si="15"/>
        <v/>
      </c>
      <c r="DH16" s="256" t="str">
        <f t="shared" si="15"/>
        <v/>
      </c>
      <c r="DI16" s="256" t="str">
        <f t="shared" si="15"/>
        <v/>
      </c>
      <c r="DJ16" s="256" t="str">
        <f t="shared" si="15"/>
        <v/>
      </c>
      <c r="DK16" s="256" t="str">
        <f t="shared" si="15"/>
        <v/>
      </c>
      <c r="DL16" s="256" t="str">
        <f t="shared" si="15"/>
        <v/>
      </c>
      <c r="DM16" s="256" t="str">
        <f t="shared" si="15"/>
        <v/>
      </c>
      <c r="DN16" s="256" t="str">
        <f t="shared" si="15"/>
        <v/>
      </c>
      <c r="DO16" s="256" t="str">
        <f t="shared" si="15"/>
        <v/>
      </c>
      <c r="DP16" s="256" t="str">
        <f t="shared" si="15"/>
        <v/>
      </c>
      <c r="DQ16" s="256" t="str">
        <f t="shared" si="15"/>
        <v/>
      </c>
      <c r="DR16" s="256" t="str">
        <f t="shared" si="15"/>
        <v/>
      </c>
      <c r="DS16" s="256" t="str">
        <f t="shared" si="15"/>
        <v/>
      </c>
      <c r="DT16" s="256" t="str">
        <f t="shared" si="15"/>
        <v/>
      </c>
      <c r="DU16" s="256" t="str">
        <f t="shared" si="15"/>
        <v/>
      </c>
      <c r="DV16" s="256" t="str">
        <f t="shared" si="15"/>
        <v/>
      </c>
      <c r="DW16" s="256" t="str">
        <f t="shared" si="15"/>
        <v/>
      </c>
      <c r="DX16" s="256" t="str">
        <f t="shared" si="13"/>
        <v/>
      </c>
      <c r="DY16" s="256" t="str">
        <f t="shared" si="13"/>
        <v/>
      </c>
      <c r="DZ16" s="256" t="str">
        <f t="shared" si="13"/>
        <v/>
      </c>
      <c r="EA16" s="256" t="str">
        <f t="shared" si="13"/>
        <v/>
      </c>
      <c r="EB16" s="256" t="str">
        <f t="shared" si="13"/>
        <v/>
      </c>
      <c r="EC16" s="256" t="str">
        <f t="shared" si="13"/>
        <v/>
      </c>
      <c r="ED16" s="256" t="str">
        <f t="shared" si="13"/>
        <v/>
      </c>
      <c r="EE16" s="256" t="str">
        <f t="shared" si="13"/>
        <v/>
      </c>
      <c r="EF16" s="256" t="str">
        <f t="shared" si="13"/>
        <v/>
      </c>
      <c r="EG16" s="256" t="str">
        <f t="shared" si="13"/>
        <v/>
      </c>
      <c r="EH16" s="256" t="str">
        <f t="shared" si="13"/>
        <v/>
      </c>
      <c r="EI16" s="256" t="str">
        <f t="shared" si="13"/>
        <v/>
      </c>
      <c r="EJ16" s="256" t="str">
        <f t="shared" si="13"/>
        <v/>
      </c>
      <c r="EK16" s="256" t="str">
        <f t="shared" si="13"/>
        <v/>
      </c>
      <c r="EL16" s="256" t="str">
        <f t="shared" si="13"/>
        <v/>
      </c>
      <c r="EM16" s="256" t="str">
        <f t="shared" si="13"/>
        <v/>
      </c>
      <c r="EN16" s="256" t="str">
        <f t="shared" si="13"/>
        <v/>
      </c>
      <c r="EO16" s="256" t="str">
        <f t="shared" si="13"/>
        <v/>
      </c>
      <c r="EP16" s="256" t="str">
        <f t="shared" si="13"/>
        <v/>
      </c>
      <c r="EQ16" s="256" t="str">
        <f t="shared" si="13"/>
        <v/>
      </c>
      <c r="ER16" s="256" t="str">
        <f t="shared" si="13"/>
        <v/>
      </c>
      <c r="ES16" s="256" t="str">
        <f t="shared" si="13"/>
        <v/>
      </c>
      <c r="ET16" s="256" t="str">
        <f t="shared" si="13"/>
        <v/>
      </c>
      <c r="EU16" s="256" t="str">
        <f t="shared" si="13"/>
        <v/>
      </c>
      <c r="EV16" s="256" t="str">
        <f t="shared" si="13"/>
        <v/>
      </c>
      <c r="EW16" s="256" t="str">
        <f t="shared" si="13"/>
        <v/>
      </c>
      <c r="EX16" s="256" t="str">
        <f t="shared" si="13"/>
        <v/>
      </c>
      <c r="EY16" s="256" t="str">
        <f t="shared" si="13"/>
        <v/>
      </c>
      <c r="EZ16" s="256" t="str">
        <f t="shared" si="13"/>
        <v/>
      </c>
      <c r="FA16" s="256" t="str">
        <f t="shared" si="13"/>
        <v/>
      </c>
      <c r="FB16" s="256" t="str">
        <f t="shared" si="7"/>
        <v/>
      </c>
      <c r="FC16" s="256" t="str">
        <f t="shared" si="7"/>
        <v/>
      </c>
      <c r="FD16" s="256" t="str">
        <f t="shared" si="13"/>
        <v/>
      </c>
      <c r="FE16" s="256" t="str">
        <f t="shared" si="13"/>
        <v/>
      </c>
      <c r="FF16" s="256" t="str">
        <f t="shared" si="13"/>
        <v/>
      </c>
      <c r="FG16" s="256" t="str">
        <f t="shared" si="13"/>
        <v/>
      </c>
      <c r="FH16" s="256" t="str">
        <f t="shared" si="13"/>
        <v/>
      </c>
      <c r="FI16" s="256" t="str">
        <f t="shared" si="13"/>
        <v/>
      </c>
      <c r="FJ16" s="256" t="str">
        <f t="shared" si="13"/>
        <v/>
      </c>
      <c r="FK16" s="256" t="str">
        <f t="shared" si="13"/>
        <v/>
      </c>
      <c r="FL16" s="256" t="str">
        <f t="shared" si="13"/>
        <v/>
      </c>
      <c r="FM16" s="256" t="str">
        <f t="shared" si="13"/>
        <v/>
      </c>
      <c r="FN16" s="256" t="str">
        <f t="shared" si="13"/>
        <v/>
      </c>
      <c r="FO16" s="256" t="str">
        <f t="shared" si="13"/>
        <v/>
      </c>
      <c r="FP16" s="256" t="str">
        <f t="shared" si="13"/>
        <v/>
      </c>
      <c r="FQ16" s="256" t="str">
        <f t="shared" si="13"/>
        <v/>
      </c>
      <c r="FR16" s="256" t="str">
        <f t="shared" si="13"/>
        <v/>
      </c>
      <c r="FS16" s="256" t="str">
        <f t="shared" si="13"/>
        <v/>
      </c>
      <c r="FT16" s="256" t="str">
        <f t="shared" si="13"/>
        <v/>
      </c>
      <c r="FU16" s="256" t="str">
        <f t="shared" si="13"/>
        <v/>
      </c>
      <c r="FV16" s="256" t="str">
        <f t="shared" si="13"/>
        <v/>
      </c>
      <c r="FW16" s="256" t="str">
        <f t="shared" si="13"/>
        <v/>
      </c>
      <c r="FX16" s="256" t="str">
        <f t="shared" si="13"/>
        <v/>
      </c>
      <c r="FY16" s="256" t="str">
        <f t="shared" si="13"/>
        <v/>
      </c>
      <c r="FZ16" s="256" t="str">
        <f t="shared" si="13"/>
        <v/>
      </c>
      <c r="GA16" s="256" t="str">
        <f t="shared" si="13"/>
        <v/>
      </c>
      <c r="GB16" s="256" t="str">
        <f t="shared" si="13"/>
        <v/>
      </c>
      <c r="GC16" s="256" t="str">
        <f t="shared" si="13"/>
        <v/>
      </c>
      <c r="GD16" s="256" t="str">
        <f t="shared" si="13"/>
        <v/>
      </c>
      <c r="GE16" s="256" t="str">
        <f t="shared" si="13"/>
        <v/>
      </c>
      <c r="GF16" s="256" t="str">
        <f t="shared" si="13"/>
        <v/>
      </c>
      <c r="GG16" s="256" t="str">
        <f t="shared" si="13"/>
        <v/>
      </c>
      <c r="GH16" s="256" t="str">
        <f t="shared" si="13"/>
        <v/>
      </c>
      <c r="GI16" s="256" t="str">
        <f t="shared" si="14"/>
        <v/>
      </c>
      <c r="GJ16" s="256" t="str">
        <f t="shared" si="14"/>
        <v/>
      </c>
      <c r="GK16" s="256" t="str">
        <f t="shared" si="14"/>
        <v/>
      </c>
      <c r="GL16" s="256" t="str">
        <f t="shared" si="14"/>
        <v/>
      </c>
      <c r="GM16" s="256" t="str">
        <f t="shared" si="14"/>
        <v/>
      </c>
      <c r="GN16" s="256" t="str">
        <f t="shared" si="14"/>
        <v/>
      </c>
      <c r="GO16" s="256" t="str">
        <f t="shared" si="14"/>
        <v/>
      </c>
      <c r="GP16" s="256" t="str">
        <f t="shared" si="14"/>
        <v/>
      </c>
      <c r="GQ16" s="256" t="str">
        <f t="shared" si="14"/>
        <v/>
      </c>
      <c r="GR16" s="256" t="str">
        <f t="shared" si="14"/>
        <v/>
      </c>
      <c r="GS16" s="256" t="str">
        <f t="shared" si="14"/>
        <v/>
      </c>
      <c r="GT16" s="256" t="str">
        <f t="shared" si="14"/>
        <v/>
      </c>
      <c r="GU16" s="256" t="str">
        <f t="shared" si="14"/>
        <v/>
      </c>
      <c r="GV16" s="256" t="str">
        <f t="shared" si="14"/>
        <v/>
      </c>
      <c r="GW16" s="256" t="str">
        <f t="shared" si="14"/>
        <v/>
      </c>
      <c r="GX16" s="256" t="str">
        <f t="shared" si="14"/>
        <v/>
      </c>
      <c r="GY16" s="256" t="str">
        <f t="shared" si="14"/>
        <v/>
      </c>
      <c r="GZ16" s="256" t="str">
        <f t="shared" si="14"/>
        <v/>
      </c>
      <c r="HA16" s="256" t="str">
        <f t="shared" si="14"/>
        <v/>
      </c>
      <c r="HB16" s="256" t="str">
        <f t="shared" si="14"/>
        <v/>
      </c>
      <c r="HC16" s="256" t="str">
        <f t="shared" si="14"/>
        <v/>
      </c>
      <c r="HD16" s="256" t="str">
        <f t="shared" si="14"/>
        <v/>
      </c>
      <c r="HE16" s="256" t="str">
        <f t="shared" si="14"/>
        <v/>
      </c>
      <c r="HF16" s="256" t="str">
        <f t="shared" si="12"/>
        <v/>
      </c>
      <c r="HG16" s="256" t="str">
        <f t="shared" si="12"/>
        <v/>
      </c>
      <c r="HH16" s="256" t="str">
        <f t="shared" si="12"/>
        <v/>
      </c>
      <c r="HI16" s="256" t="str">
        <f t="shared" si="12"/>
        <v/>
      </c>
      <c r="HJ16" s="256" t="str">
        <f t="shared" si="12"/>
        <v/>
      </c>
    </row>
    <row r="17" spans="1:218" s="134" customFormat="1" ht="40.200000000000003" customHeight="1">
      <c r="A17" s="100"/>
      <c r="B17" s="257" t="s">
        <v>106</v>
      </c>
      <c r="C17" s="136"/>
      <c r="D17" s="144"/>
      <c r="E17" s="103"/>
      <c r="F17" s="142"/>
      <c r="G17" s="136"/>
      <c r="H17" s="141"/>
      <c r="I17" s="141"/>
      <c r="J17" s="141"/>
      <c r="K17" s="256"/>
      <c r="L17" s="256"/>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256"/>
      <c r="BK17" s="256"/>
      <c r="BL17" s="256"/>
      <c r="BM17" s="256"/>
      <c r="BN17" s="256"/>
      <c r="BO17" s="256"/>
      <c r="BP17" s="256"/>
      <c r="BQ17" s="256"/>
      <c r="BR17" s="256"/>
      <c r="BS17" s="256"/>
      <c r="BT17" s="256"/>
      <c r="BU17" s="256"/>
      <c r="BV17" s="256"/>
      <c r="BW17" s="256"/>
      <c r="BX17" s="256"/>
      <c r="BY17" s="256"/>
      <c r="BZ17" s="256"/>
      <c r="CA17" s="256"/>
      <c r="CB17" s="256"/>
      <c r="CC17" s="256"/>
      <c r="CD17" s="256"/>
      <c r="CE17" s="256"/>
      <c r="CF17" s="256"/>
      <c r="CG17" s="256"/>
      <c r="CH17" s="256"/>
      <c r="CI17" s="256"/>
      <c r="CJ17" s="256"/>
      <c r="CK17" s="256"/>
      <c r="CL17" s="256"/>
      <c r="CM17" s="256"/>
      <c r="CN17" s="256"/>
      <c r="CO17" s="256"/>
      <c r="CP17" s="256"/>
      <c r="CQ17" s="256"/>
      <c r="CR17" s="256"/>
      <c r="CS17" s="256"/>
      <c r="CT17" s="256"/>
      <c r="CU17" s="256"/>
      <c r="CV17" s="256"/>
      <c r="CW17" s="256"/>
      <c r="CX17" s="256"/>
      <c r="CY17" s="256"/>
      <c r="CZ17" s="256"/>
      <c r="DA17" s="256"/>
      <c r="DB17" s="256"/>
      <c r="DC17" s="256"/>
      <c r="DD17" s="256"/>
      <c r="DE17" s="256"/>
      <c r="DF17" s="256"/>
      <c r="DG17" s="256"/>
      <c r="DH17" s="256"/>
      <c r="DI17" s="256"/>
      <c r="DJ17" s="256"/>
      <c r="DK17" s="256"/>
      <c r="DL17" s="256"/>
      <c r="DM17" s="256"/>
      <c r="DN17" s="256"/>
      <c r="DO17" s="256"/>
      <c r="DP17" s="256"/>
      <c r="DQ17" s="256"/>
      <c r="DR17" s="256"/>
      <c r="DS17" s="256"/>
      <c r="DT17" s="256"/>
      <c r="DU17" s="256"/>
      <c r="DV17" s="256"/>
      <c r="DW17" s="256"/>
      <c r="DX17" s="256"/>
      <c r="DY17" s="256"/>
      <c r="DZ17" s="256"/>
      <c r="EA17" s="256"/>
      <c r="EB17" s="256"/>
      <c r="EC17" s="256"/>
      <c r="ED17" s="256"/>
      <c r="EE17" s="256"/>
      <c r="EF17" s="256"/>
      <c r="EG17" s="256"/>
      <c r="EH17" s="256"/>
      <c r="EI17" s="256"/>
      <c r="EJ17" s="256"/>
      <c r="EK17" s="256"/>
      <c r="EL17" s="256"/>
      <c r="EM17" s="256"/>
      <c r="EN17" s="256"/>
      <c r="EO17" s="256"/>
      <c r="EP17" s="256"/>
      <c r="EQ17" s="256"/>
      <c r="ER17" s="256"/>
      <c r="ES17" s="256"/>
      <c r="ET17" s="256"/>
      <c r="EU17" s="256"/>
      <c r="EV17" s="256"/>
      <c r="EW17" s="256"/>
      <c r="EX17" s="256"/>
      <c r="EY17" s="256"/>
      <c r="EZ17" s="256"/>
      <c r="FA17" s="256"/>
      <c r="FB17" s="256"/>
      <c r="FC17" s="256"/>
      <c r="FD17" s="256"/>
      <c r="FE17" s="256"/>
      <c r="FF17" s="256"/>
      <c r="FG17" s="256"/>
      <c r="FH17" s="256"/>
      <c r="FI17" s="256"/>
      <c r="FJ17" s="256"/>
      <c r="FK17" s="256"/>
      <c r="FL17" s="256"/>
      <c r="FM17" s="256"/>
      <c r="FN17" s="256"/>
      <c r="FO17" s="256"/>
      <c r="FP17" s="256"/>
      <c r="FQ17" s="256"/>
      <c r="FR17" s="256"/>
      <c r="FS17" s="256"/>
      <c r="FT17" s="256"/>
      <c r="FU17" s="256"/>
      <c r="FV17" s="256"/>
      <c r="FW17" s="256"/>
      <c r="FX17" s="256"/>
      <c r="FY17" s="256"/>
      <c r="FZ17" s="256"/>
      <c r="GA17" s="256"/>
      <c r="GB17" s="256"/>
      <c r="GC17" s="256"/>
      <c r="GD17" s="256"/>
      <c r="GE17" s="256"/>
      <c r="GF17" s="256"/>
      <c r="GG17" s="256"/>
      <c r="GH17" s="256"/>
      <c r="GI17" s="256"/>
      <c r="GJ17" s="256"/>
      <c r="GK17" s="256"/>
      <c r="GL17" s="256"/>
      <c r="GM17" s="256"/>
      <c r="GN17" s="256"/>
      <c r="GO17" s="256"/>
      <c r="GP17" s="256"/>
      <c r="GQ17" s="256"/>
      <c r="GR17" s="256"/>
      <c r="GS17" s="256"/>
      <c r="GT17" s="256"/>
      <c r="GU17" s="256"/>
      <c r="GV17" s="256"/>
      <c r="GW17" s="256"/>
      <c r="GX17" s="256"/>
      <c r="GY17" s="256"/>
      <c r="GZ17" s="256"/>
      <c r="HA17" s="256"/>
      <c r="HB17" s="256"/>
      <c r="HC17" s="256"/>
      <c r="HD17" s="256"/>
      <c r="HE17" s="256"/>
      <c r="HF17" s="256"/>
      <c r="HG17" s="256"/>
      <c r="HH17" s="256"/>
      <c r="HI17" s="256"/>
      <c r="HJ17" s="256"/>
    </row>
    <row r="18" spans="1:218" s="134" customFormat="1" ht="40.200000000000003" customHeight="1">
      <c r="A18" s="90"/>
      <c r="B18" s="145" t="s">
        <v>435</v>
      </c>
      <c r="C18" s="136" t="s">
        <v>432</v>
      </c>
      <c r="D18" s="144"/>
      <c r="E18" s="143"/>
      <c r="F18" s="142"/>
      <c r="G18" s="136"/>
      <c r="H18" s="141" t="str">
        <f t="shared" ref="H18:Q19" si="16">IF(AND($C18="Goal",H$8&gt;=$E18,H$8&lt;=$E18+$F18-1),2,IF(AND($C18="Milestone",H$8&gt;=$E18,H$8&lt;=$E18+$F18-1),1,""))</f>
        <v/>
      </c>
      <c r="I18" s="141" t="str">
        <f t="shared" si="16"/>
        <v/>
      </c>
      <c r="J18" s="141" t="str">
        <f t="shared" si="16"/>
        <v/>
      </c>
      <c r="K18" s="256" t="str">
        <f t="shared" si="16"/>
        <v/>
      </c>
      <c r="L18" s="256" t="str">
        <f t="shared" si="16"/>
        <v/>
      </c>
      <c r="M18" s="141" t="str">
        <f t="shared" si="16"/>
        <v/>
      </c>
      <c r="N18" s="141" t="str">
        <f t="shared" si="16"/>
        <v/>
      </c>
      <c r="O18" s="141" t="str">
        <f t="shared" si="16"/>
        <v/>
      </c>
      <c r="P18" s="141" t="str">
        <f t="shared" si="16"/>
        <v/>
      </c>
      <c r="Q18" s="141" t="str">
        <f t="shared" si="16"/>
        <v/>
      </c>
      <c r="R18" s="141" t="str">
        <f t="shared" ref="R18:AA19" si="17">IF(AND($C18="Goal",R$8&gt;=$E18,R$8&lt;=$E18+$F18-1),2,IF(AND($C18="Milestone",R$8&gt;=$E18,R$8&lt;=$E18+$F18-1),1,""))</f>
        <v/>
      </c>
      <c r="S18" s="141" t="str">
        <f t="shared" si="17"/>
        <v/>
      </c>
      <c r="T18" s="141" t="str">
        <f t="shared" si="17"/>
        <v/>
      </c>
      <c r="U18" s="141" t="str">
        <f t="shared" si="17"/>
        <v/>
      </c>
      <c r="V18" s="141" t="str">
        <f t="shared" si="17"/>
        <v/>
      </c>
      <c r="W18" s="141" t="str">
        <f t="shared" si="17"/>
        <v/>
      </c>
      <c r="X18" s="141" t="str">
        <f t="shared" si="17"/>
        <v/>
      </c>
      <c r="Y18" s="141" t="str">
        <f t="shared" si="17"/>
        <v/>
      </c>
      <c r="Z18" s="141" t="str">
        <f t="shared" si="17"/>
        <v/>
      </c>
      <c r="AA18" s="141" t="str">
        <f t="shared" si="17"/>
        <v/>
      </c>
      <c r="AB18" s="141" t="str">
        <f t="shared" ref="AB18:AK19" si="18">IF(AND($C18="Goal",AB$8&gt;=$E18,AB$8&lt;=$E18+$F18-1),2,IF(AND($C18="Milestone",AB$8&gt;=$E18,AB$8&lt;=$E18+$F18-1),1,""))</f>
        <v/>
      </c>
      <c r="AC18" s="141" t="str">
        <f t="shared" si="18"/>
        <v/>
      </c>
      <c r="AD18" s="141" t="str">
        <f t="shared" si="18"/>
        <v/>
      </c>
      <c r="AE18" s="141" t="str">
        <f t="shared" si="18"/>
        <v/>
      </c>
      <c r="AF18" s="141" t="str">
        <f t="shared" si="18"/>
        <v/>
      </c>
      <c r="AG18" s="141" t="str">
        <f t="shared" si="18"/>
        <v/>
      </c>
      <c r="AH18" s="141" t="str">
        <f t="shared" si="18"/>
        <v/>
      </c>
      <c r="AI18" s="141" t="str">
        <f t="shared" si="18"/>
        <v/>
      </c>
      <c r="AJ18" s="141" t="str">
        <f t="shared" si="18"/>
        <v/>
      </c>
      <c r="AK18" s="141" t="str">
        <f t="shared" si="18"/>
        <v/>
      </c>
      <c r="AL18" s="141" t="str">
        <f t="shared" ref="AL18:AU19" si="19">IF(AND($C18="Goal",AL$8&gt;=$E18,AL$8&lt;=$E18+$F18-1),2,IF(AND($C18="Milestone",AL$8&gt;=$E18,AL$8&lt;=$E18+$F18-1),1,""))</f>
        <v/>
      </c>
      <c r="AM18" s="141" t="str">
        <f t="shared" si="19"/>
        <v/>
      </c>
      <c r="AN18" s="141" t="str">
        <f t="shared" si="19"/>
        <v/>
      </c>
      <c r="AO18" s="141" t="str">
        <f t="shared" si="19"/>
        <v/>
      </c>
      <c r="AP18" s="141" t="str">
        <f t="shared" si="19"/>
        <v/>
      </c>
      <c r="AQ18" s="141" t="str">
        <f t="shared" si="19"/>
        <v/>
      </c>
      <c r="AR18" s="141" t="str">
        <f t="shared" si="19"/>
        <v/>
      </c>
      <c r="AS18" s="141" t="str">
        <f t="shared" si="19"/>
        <v/>
      </c>
      <c r="AT18" s="141" t="str">
        <f t="shared" si="19"/>
        <v/>
      </c>
      <c r="AU18" s="141" t="str">
        <f t="shared" si="19"/>
        <v/>
      </c>
      <c r="AV18" s="141" t="str">
        <f t="shared" ref="AV18:BE19" si="20">IF(AND($C18="Goal",AV$8&gt;=$E18,AV$8&lt;=$E18+$F18-1),2,IF(AND($C18="Milestone",AV$8&gt;=$E18,AV$8&lt;=$E18+$F18-1),1,""))</f>
        <v/>
      </c>
      <c r="AW18" s="141" t="str">
        <f t="shared" si="20"/>
        <v/>
      </c>
      <c r="AX18" s="141" t="str">
        <f t="shared" si="20"/>
        <v/>
      </c>
      <c r="AY18" s="141" t="str">
        <f t="shared" si="20"/>
        <v/>
      </c>
      <c r="AZ18" s="141" t="str">
        <f t="shared" si="20"/>
        <v/>
      </c>
      <c r="BA18" s="141" t="str">
        <f t="shared" si="20"/>
        <v/>
      </c>
      <c r="BB18" s="141" t="str">
        <f t="shared" si="20"/>
        <v/>
      </c>
      <c r="BC18" s="141" t="str">
        <f t="shared" si="20"/>
        <v/>
      </c>
      <c r="BD18" s="141" t="str">
        <f t="shared" si="20"/>
        <v/>
      </c>
      <c r="BE18" s="141" t="str">
        <f t="shared" si="20"/>
        <v/>
      </c>
      <c r="BF18" s="141" t="str">
        <f t="shared" ref="BF18:BU19" si="21">IF(AND($C18="Goal",BF$8&gt;=$E18,BF$8&lt;=$E18+$F18-1),2,IF(AND($C18="Milestone",BF$8&gt;=$E18,BF$8&lt;=$E18+$F18-1),1,""))</f>
        <v/>
      </c>
      <c r="BG18" s="141" t="str">
        <f t="shared" si="21"/>
        <v/>
      </c>
      <c r="BH18" s="141" t="str">
        <f t="shared" si="21"/>
        <v/>
      </c>
      <c r="BI18" s="141" t="str">
        <f t="shared" si="21"/>
        <v/>
      </c>
      <c r="BJ18" s="256" t="str">
        <f t="shared" si="21"/>
        <v/>
      </c>
      <c r="BK18" s="256" t="str">
        <f t="shared" si="21"/>
        <v/>
      </c>
      <c r="BL18" s="256" t="str">
        <f t="shared" si="21"/>
        <v/>
      </c>
      <c r="BM18" s="256" t="str">
        <f t="shared" si="21"/>
        <v/>
      </c>
      <c r="BN18" s="256" t="str">
        <f t="shared" si="21"/>
        <v/>
      </c>
      <c r="BO18" s="256" t="str">
        <f t="shared" si="21"/>
        <v/>
      </c>
      <c r="BP18" s="256" t="str">
        <f t="shared" si="21"/>
        <v/>
      </c>
      <c r="BQ18" s="256" t="str">
        <f t="shared" si="21"/>
        <v/>
      </c>
      <c r="BR18" s="256" t="str">
        <f t="shared" si="21"/>
        <v/>
      </c>
      <c r="BS18" s="256" t="str">
        <f t="shared" si="21"/>
        <v/>
      </c>
      <c r="BT18" s="256" t="str">
        <f t="shared" si="21"/>
        <v/>
      </c>
      <c r="BU18" s="256" t="str">
        <f t="shared" si="21"/>
        <v/>
      </c>
      <c r="BV18" s="256" t="str">
        <f t="shared" ref="BV18:EG19" si="22">IF(AND($C18="Goal",BV$8&gt;=$E18,BV$8&lt;=$E18+$F18-1),2,IF(AND($C18="Milestone",BV$8&gt;=$E18,BV$8&lt;=$E18+$F18-1),1,""))</f>
        <v/>
      </c>
      <c r="BW18" s="256" t="str">
        <f t="shared" si="22"/>
        <v/>
      </c>
      <c r="BX18" s="256" t="str">
        <f t="shared" si="22"/>
        <v/>
      </c>
      <c r="BY18" s="256" t="str">
        <f t="shared" si="22"/>
        <v/>
      </c>
      <c r="BZ18" s="256" t="str">
        <f t="shared" si="22"/>
        <v/>
      </c>
      <c r="CA18" s="256" t="str">
        <f t="shared" si="22"/>
        <v/>
      </c>
      <c r="CB18" s="256" t="str">
        <f t="shared" si="22"/>
        <v/>
      </c>
      <c r="CC18" s="256" t="str">
        <f t="shared" si="22"/>
        <v/>
      </c>
      <c r="CD18" s="256" t="str">
        <f t="shared" si="22"/>
        <v/>
      </c>
      <c r="CE18" s="256" t="str">
        <f t="shared" si="22"/>
        <v/>
      </c>
      <c r="CF18" s="256" t="str">
        <f t="shared" si="22"/>
        <v/>
      </c>
      <c r="CG18" s="256" t="str">
        <f t="shared" si="22"/>
        <v/>
      </c>
      <c r="CH18" s="256" t="str">
        <f t="shared" si="22"/>
        <v/>
      </c>
      <c r="CI18" s="256" t="str">
        <f t="shared" si="22"/>
        <v/>
      </c>
      <c r="CJ18" s="256" t="str">
        <f t="shared" si="22"/>
        <v/>
      </c>
      <c r="CK18" s="256" t="str">
        <f t="shared" si="22"/>
        <v/>
      </c>
      <c r="CL18" s="256" t="str">
        <f t="shared" si="22"/>
        <v/>
      </c>
      <c r="CM18" s="256" t="str">
        <f t="shared" si="22"/>
        <v/>
      </c>
      <c r="CN18" s="256" t="str">
        <f t="shared" si="22"/>
        <v/>
      </c>
      <c r="CO18" s="256" t="str">
        <f t="shared" si="22"/>
        <v/>
      </c>
      <c r="CP18" s="256" t="str">
        <f t="shared" si="22"/>
        <v/>
      </c>
      <c r="CQ18" s="256" t="str">
        <f t="shared" si="22"/>
        <v/>
      </c>
      <c r="CR18" s="256" t="str">
        <f t="shared" si="22"/>
        <v/>
      </c>
      <c r="CS18" s="256" t="str">
        <f t="shared" si="22"/>
        <v/>
      </c>
      <c r="CT18" s="256" t="str">
        <f t="shared" si="22"/>
        <v/>
      </c>
      <c r="CU18" s="256" t="str">
        <f t="shared" si="22"/>
        <v/>
      </c>
      <c r="CV18" s="256" t="str">
        <f t="shared" si="22"/>
        <v/>
      </c>
      <c r="CW18" s="256" t="str">
        <f t="shared" si="22"/>
        <v/>
      </c>
      <c r="CX18" s="256" t="str">
        <f t="shared" si="22"/>
        <v/>
      </c>
      <c r="CY18" s="256" t="str">
        <f t="shared" si="22"/>
        <v/>
      </c>
      <c r="CZ18" s="256" t="str">
        <f t="shared" si="22"/>
        <v/>
      </c>
      <c r="DA18" s="256" t="str">
        <f t="shared" si="22"/>
        <v/>
      </c>
      <c r="DB18" s="256" t="str">
        <f t="shared" si="22"/>
        <v/>
      </c>
      <c r="DC18" s="256" t="str">
        <f t="shared" si="22"/>
        <v/>
      </c>
      <c r="DD18" s="256" t="str">
        <f t="shared" si="22"/>
        <v/>
      </c>
      <c r="DE18" s="256" t="str">
        <f t="shared" si="22"/>
        <v/>
      </c>
      <c r="DF18" s="256" t="str">
        <f t="shared" si="22"/>
        <v/>
      </c>
      <c r="DG18" s="256" t="str">
        <f t="shared" si="22"/>
        <v/>
      </c>
      <c r="DH18" s="256" t="str">
        <f t="shared" si="22"/>
        <v/>
      </c>
      <c r="DI18" s="256" t="str">
        <f t="shared" si="22"/>
        <v/>
      </c>
      <c r="DJ18" s="256" t="str">
        <f t="shared" si="22"/>
        <v/>
      </c>
      <c r="DK18" s="256" t="str">
        <f t="shared" si="22"/>
        <v/>
      </c>
      <c r="DL18" s="256" t="str">
        <f t="shared" si="22"/>
        <v/>
      </c>
      <c r="DM18" s="256" t="str">
        <f t="shared" si="22"/>
        <v/>
      </c>
      <c r="DN18" s="256" t="str">
        <f t="shared" si="22"/>
        <v/>
      </c>
      <c r="DO18" s="256" t="str">
        <f t="shared" si="22"/>
        <v/>
      </c>
      <c r="DP18" s="256" t="str">
        <f t="shared" si="22"/>
        <v/>
      </c>
      <c r="DQ18" s="256" t="str">
        <f t="shared" si="22"/>
        <v/>
      </c>
      <c r="DR18" s="256" t="str">
        <f t="shared" si="22"/>
        <v/>
      </c>
      <c r="DS18" s="256" t="str">
        <f t="shared" si="22"/>
        <v/>
      </c>
      <c r="DT18" s="256" t="str">
        <f t="shared" si="22"/>
        <v/>
      </c>
      <c r="DU18" s="256" t="str">
        <f t="shared" si="22"/>
        <v/>
      </c>
      <c r="DV18" s="256" t="str">
        <f t="shared" si="22"/>
        <v/>
      </c>
      <c r="DW18" s="256" t="str">
        <f t="shared" si="22"/>
        <v/>
      </c>
      <c r="DX18" s="256" t="str">
        <f t="shared" si="22"/>
        <v/>
      </c>
      <c r="DY18" s="256" t="str">
        <f t="shared" si="22"/>
        <v/>
      </c>
      <c r="DZ18" s="256" t="str">
        <f t="shared" si="22"/>
        <v/>
      </c>
      <c r="EA18" s="256" t="str">
        <f t="shared" si="22"/>
        <v/>
      </c>
      <c r="EB18" s="256" t="str">
        <f t="shared" si="22"/>
        <v/>
      </c>
      <c r="EC18" s="256" t="str">
        <f t="shared" si="22"/>
        <v/>
      </c>
      <c r="ED18" s="256" t="str">
        <f t="shared" si="22"/>
        <v/>
      </c>
      <c r="EE18" s="256" t="str">
        <f t="shared" si="22"/>
        <v/>
      </c>
      <c r="EF18" s="256" t="str">
        <f t="shared" si="22"/>
        <v/>
      </c>
      <c r="EG18" s="256" t="str">
        <f t="shared" si="22"/>
        <v/>
      </c>
      <c r="EH18" s="256" t="str">
        <f t="shared" ref="EH18:GS19" si="23">IF(AND($C18="Goal",EH$8&gt;=$E18,EH$8&lt;=$E18+$F18-1),2,IF(AND($C18="Milestone",EH$8&gt;=$E18,EH$8&lt;=$E18+$F18-1),1,""))</f>
        <v/>
      </c>
      <c r="EI18" s="256" t="str">
        <f t="shared" si="23"/>
        <v/>
      </c>
      <c r="EJ18" s="256" t="str">
        <f t="shared" si="23"/>
        <v/>
      </c>
      <c r="EK18" s="256" t="str">
        <f t="shared" si="23"/>
        <v/>
      </c>
      <c r="EL18" s="256" t="str">
        <f t="shared" si="23"/>
        <v/>
      </c>
      <c r="EM18" s="256" t="str">
        <f t="shared" si="23"/>
        <v/>
      </c>
      <c r="EN18" s="256" t="str">
        <f t="shared" si="23"/>
        <v/>
      </c>
      <c r="EO18" s="256" t="str">
        <f t="shared" si="23"/>
        <v/>
      </c>
      <c r="EP18" s="256" t="str">
        <f t="shared" si="23"/>
        <v/>
      </c>
      <c r="EQ18" s="256" t="str">
        <f t="shared" si="23"/>
        <v/>
      </c>
      <c r="ER18" s="256" t="str">
        <f t="shared" si="23"/>
        <v/>
      </c>
      <c r="ES18" s="256" t="str">
        <f t="shared" si="23"/>
        <v/>
      </c>
      <c r="ET18" s="256" t="str">
        <f t="shared" si="23"/>
        <v/>
      </c>
      <c r="EU18" s="256" t="str">
        <f t="shared" si="23"/>
        <v/>
      </c>
      <c r="EV18" s="256" t="str">
        <f t="shared" si="23"/>
        <v/>
      </c>
      <c r="EW18" s="256" t="str">
        <f t="shared" si="23"/>
        <v/>
      </c>
      <c r="EX18" s="256" t="str">
        <f t="shared" si="23"/>
        <v/>
      </c>
      <c r="EY18" s="256" t="str">
        <f t="shared" si="23"/>
        <v/>
      </c>
      <c r="EZ18" s="256" t="str">
        <f t="shared" si="23"/>
        <v/>
      </c>
      <c r="FA18" s="256" t="str">
        <f t="shared" si="23"/>
        <v/>
      </c>
      <c r="FB18" s="256" t="str">
        <f>IF(AND($C18="Goal",FB$8&gt;=$E18,FB$8&lt;=$E18+$F18-1),2,IF(AND($C18="Milestone",FB$8&gt;=$E18,FB$8&lt;=$E18+$F18-1),1,""))</f>
        <v/>
      </c>
      <c r="FC18" s="256" t="str">
        <f>IF(AND($C18="Goal",FC$8&gt;=$E18,FC$8&lt;=$E18+$F18-1),2,IF(AND($C18="Milestone",FC$8&gt;=$E18,FC$8&lt;=$E18+$F18-1),1,""))</f>
        <v/>
      </c>
      <c r="FD18" s="256" t="str">
        <f t="shared" si="23"/>
        <v/>
      </c>
      <c r="FE18" s="256" t="str">
        <f t="shared" si="23"/>
        <v/>
      </c>
      <c r="FF18" s="256" t="str">
        <f t="shared" si="23"/>
        <v/>
      </c>
      <c r="FG18" s="256" t="str">
        <f t="shared" si="23"/>
        <v/>
      </c>
      <c r="FH18" s="256" t="str">
        <f t="shared" si="23"/>
        <v/>
      </c>
      <c r="FI18" s="256" t="str">
        <f t="shared" si="23"/>
        <v/>
      </c>
      <c r="FJ18" s="256" t="str">
        <f t="shared" si="23"/>
        <v/>
      </c>
      <c r="FK18" s="256" t="str">
        <f t="shared" si="23"/>
        <v/>
      </c>
      <c r="FL18" s="256" t="str">
        <f t="shared" si="23"/>
        <v/>
      </c>
      <c r="FM18" s="256" t="str">
        <f t="shared" si="23"/>
        <v/>
      </c>
      <c r="FN18" s="256" t="str">
        <f t="shared" si="23"/>
        <v/>
      </c>
      <c r="FO18" s="256" t="str">
        <f t="shared" si="23"/>
        <v/>
      </c>
      <c r="FP18" s="256" t="str">
        <f t="shared" si="23"/>
        <v/>
      </c>
      <c r="FQ18" s="256" t="str">
        <f t="shared" si="23"/>
        <v/>
      </c>
      <c r="FR18" s="256" t="str">
        <f t="shared" si="23"/>
        <v/>
      </c>
      <c r="FS18" s="256" t="str">
        <f t="shared" si="23"/>
        <v/>
      </c>
      <c r="FT18" s="256" t="str">
        <f t="shared" si="23"/>
        <v/>
      </c>
      <c r="FU18" s="256" t="str">
        <f t="shared" si="23"/>
        <v/>
      </c>
      <c r="FV18" s="256" t="str">
        <f t="shared" si="23"/>
        <v/>
      </c>
      <c r="FW18" s="256" t="str">
        <f t="shared" si="23"/>
        <v/>
      </c>
      <c r="FX18" s="256" t="str">
        <f t="shared" si="23"/>
        <v/>
      </c>
      <c r="FY18" s="256" t="str">
        <f t="shared" si="23"/>
        <v/>
      </c>
      <c r="FZ18" s="256" t="str">
        <f t="shared" si="23"/>
        <v/>
      </c>
      <c r="GA18" s="256" t="str">
        <f t="shared" si="23"/>
        <v/>
      </c>
      <c r="GB18" s="256" t="str">
        <f t="shared" si="23"/>
        <v/>
      </c>
      <c r="GC18" s="256" t="str">
        <f t="shared" si="23"/>
        <v/>
      </c>
      <c r="GD18" s="256" t="str">
        <f t="shared" si="23"/>
        <v/>
      </c>
      <c r="GE18" s="256" t="str">
        <f t="shared" si="23"/>
        <v/>
      </c>
      <c r="GF18" s="256" t="str">
        <f t="shared" si="23"/>
        <v/>
      </c>
      <c r="GG18" s="256" t="str">
        <f t="shared" si="23"/>
        <v/>
      </c>
      <c r="GH18" s="256" t="str">
        <f t="shared" si="23"/>
        <v/>
      </c>
      <c r="GI18" s="256" t="str">
        <f t="shared" si="23"/>
        <v/>
      </c>
      <c r="GJ18" s="256" t="str">
        <f t="shared" si="23"/>
        <v/>
      </c>
      <c r="GK18" s="256" t="str">
        <f t="shared" si="23"/>
        <v/>
      </c>
      <c r="GL18" s="256" t="str">
        <f t="shared" si="23"/>
        <v/>
      </c>
      <c r="GM18" s="256" t="str">
        <f t="shared" si="23"/>
        <v/>
      </c>
      <c r="GN18" s="256" t="str">
        <f t="shared" si="23"/>
        <v/>
      </c>
      <c r="GO18" s="256" t="str">
        <f t="shared" si="23"/>
        <v/>
      </c>
      <c r="GP18" s="256" t="str">
        <f t="shared" si="23"/>
        <v/>
      </c>
      <c r="GQ18" s="256" t="str">
        <f t="shared" si="23"/>
        <v/>
      </c>
      <c r="GR18" s="256" t="str">
        <f t="shared" si="23"/>
        <v/>
      </c>
      <c r="GS18" s="256" t="str">
        <f t="shared" si="23"/>
        <v/>
      </c>
      <c r="GT18" s="256" t="str">
        <f t="shared" ref="GT18:HJ19" si="24">IF(AND($C18="Goal",GT$8&gt;=$E18,GT$8&lt;=$E18+$F18-1),2,IF(AND($C18="Milestone",GT$8&gt;=$E18,GT$8&lt;=$E18+$F18-1),1,""))</f>
        <v/>
      </c>
      <c r="GU18" s="256" t="str">
        <f t="shared" si="24"/>
        <v/>
      </c>
      <c r="GV18" s="256" t="str">
        <f t="shared" si="24"/>
        <v/>
      </c>
      <c r="GW18" s="256" t="str">
        <f t="shared" si="24"/>
        <v/>
      </c>
      <c r="GX18" s="256" t="str">
        <f t="shared" si="24"/>
        <v/>
      </c>
      <c r="GY18" s="256" t="str">
        <f t="shared" si="24"/>
        <v/>
      </c>
      <c r="GZ18" s="256" t="str">
        <f t="shared" si="24"/>
        <v/>
      </c>
      <c r="HA18" s="256" t="str">
        <f t="shared" si="24"/>
        <v/>
      </c>
      <c r="HB18" s="256" t="str">
        <f t="shared" si="24"/>
        <v/>
      </c>
      <c r="HC18" s="256" t="str">
        <f t="shared" si="24"/>
        <v/>
      </c>
      <c r="HD18" s="256" t="str">
        <f t="shared" si="24"/>
        <v/>
      </c>
      <c r="HE18" s="256" t="str">
        <f t="shared" si="24"/>
        <v/>
      </c>
      <c r="HF18" s="256" t="str">
        <f t="shared" si="24"/>
        <v/>
      </c>
      <c r="HG18" s="256" t="str">
        <f t="shared" si="24"/>
        <v/>
      </c>
      <c r="HH18" s="256" t="str">
        <f t="shared" si="24"/>
        <v/>
      </c>
      <c r="HI18" s="256" t="str">
        <f t="shared" si="24"/>
        <v/>
      </c>
      <c r="HJ18" s="256" t="str">
        <f t="shared" si="24"/>
        <v/>
      </c>
    </row>
    <row r="19" spans="1:218" s="134" customFormat="1" ht="40.200000000000003" customHeight="1">
      <c r="A19" s="90"/>
      <c r="B19" s="182" t="s">
        <v>436</v>
      </c>
      <c r="C19" s="136" t="s">
        <v>432</v>
      </c>
      <c r="D19" s="144">
        <v>0.3</v>
      </c>
      <c r="E19" s="143">
        <v>45796</v>
      </c>
      <c r="F19" s="142">
        <v>125</v>
      </c>
      <c r="G19" s="136"/>
      <c r="H19" s="141" t="str">
        <f t="shared" si="16"/>
        <v/>
      </c>
      <c r="I19" s="141" t="str">
        <f t="shared" si="16"/>
        <v/>
      </c>
      <c r="J19" s="141" t="str">
        <f t="shared" si="16"/>
        <v/>
      </c>
      <c r="K19" s="256" t="str">
        <f t="shared" si="16"/>
        <v/>
      </c>
      <c r="L19" s="256" t="str">
        <f t="shared" si="16"/>
        <v/>
      </c>
      <c r="M19" s="141" t="str">
        <f t="shared" si="16"/>
        <v/>
      </c>
      <c r="N19" s="141" t="str">
        <f t="shared" si="16"/>
        <v/>
      </c>
      <c r="O19" s="141" t="str">
        <f t="shared" si="16"/>
        <v/>
      </c>
      <c r="P19" s="141" t="str">
        <f t="shared" si="16"/>
        <v/>
      </c>
      <c r="Q19" s="141" t="str">
        <f t="shared" si="16"/>
        <v/>
      </c>
      <c r="R19" s="141" t="str">
        <f t="shared" si="17"/>
        <v/>
      </c>
      <c r="S19" s="141" t="str">
        <f t="shared" si="17"/>
        <v/>
      </c>
      <c r="T19" s="141" t="str">
        <f t="shared" si="17"/>
        <v/>
      </c>
      <c r="U19" s="141" t="str">
        <f t="shared" si="17"/>
        <v/>
      </c>
      <c r="V19" s="141" t="str">
        <f t="shared" si="17"/>
        <v/>
      </c>
      <c r="W19" s="141" t="str">
        <f t="shared" si="17"/>
        <v/>
      </c>
      <c r="X19" s="141" t="str">
        <f t="shared" si="17"/>
        <v/>
      </c>
      <c r="Y19" s="141" t="str">
        <f t="shared" si="17"/>
        <v/>
      </c>
      <c r="Z19" s="141" t="str">
        <f t="shared" si="17"/>
        <v/>
      </c>
      <c r="AA19" s="141" t="str">
        <f t="shared" si="17"/>
        <v/>
      </c>
      <c r="AB19" s="141" t="str">
        <f t="shared" si="18"/>
        <v/>
      </c>
      <c r="AC19" s="141" t="str">
        <f t="shared" si="18"/>
        <v/>
      </c>
      <c r="AD19" s="141" t="str">
        <f t="shared" si="18"/>
        <v/>
      </c>
      <c r="AE19" s="141" t="str">
        <f t="shared" si="18"/>
        <v/>
      </c>
      <c r="AF19" s="141" t="str">
        <f t="shared" si="18"/>
        <v/>
      </c>
      <c r="AG19" s="141" t="str">
        <f t="shared" si="18"/>
        <v/>
      </c>
      <c r="AH19" s="141" t="str">
        <f t="shared" si="18"/>
        <v/>
      </c>
      <c r="AI19" s="141" t="str">
        <f t="shared" si="18"/>
        <v/>
      </c>
      <c r="AJ19" s="141" t="str">
        <f t="shared" si="18"/>
        <v/>
      </c>
      <c r="AK19" s="141" t="str">
        <f t="shared" si="18"/>
        <v/>
      </c>
      <c r="AL19" s="141" t="str">
        <f t="shared" si="19"/>
        <v/>
      </c>
      <c r="AM19" s="141" t="str">
        <f t="shared" si="19"/>
        <v/>
      </c>
      <c r="AN19" s="141" t="str">
        <f t="shared" si="19"/>
        <v/>
      </c>
      <c r="AO19" s="141" t="str">
        <f t="shared" si="19"/>
        <v/>
      </c>
      <c r="AP19" s="141" t="str">
        <f t="shared" si="19"/>
        <v/>
      </c>
      <c r="AQ19" s="141" t="str">
        <f t="shared" si="19"/>
        <v/>
      </c>
      <c r="AR19" s="141" t="str">
        <f t="shared" si="19"/>
        <v/>
      </c>
      <c r="AS19" s="141" t="str">
        <f t="shared" si="19"/>
        <v/>
      </c>
      <c r="AT19" s="141" t="str">
        <f t="shared" si="19"/>
        <v/>
      </c>
      <c r="AU19" s="141" t="str">
        <f t="shared" si="19"/>
        <v/>
      </c>
      <c r="AV19" s="141" t="str">
        <f t="shared" si="20"/>
        <v/>
      </c>
      <c r="AW19" s="141" t="str">
        <f t="shared" si="20"/>
        <v/>
      </c>
      <c r="AX19" s="141" t="str">
        <f t="shared" si="20"/>
        <v/>
      </c>
      <c r="AY19" s="141" t="str">
        <f t="shared" si="20"/>
        <v/>
      </c>
      <c r="AZ19" s="141" t="str">
        <f t="shared" si="20"/>
        <v/>
      </c>
      <c r="BA19" s="141" t="str">
        <f t="shared" si="20"/>
        <v/>
      </c>
      <c r="BB19" s="141" t="str">
        <f t="shared" si="20"/>
        <v/>
      </c>
      <c r="BC19" s="141" t="str">
        <f t="shared" si="20"/>
        <v/>
      </c>
      <c r="BD19" s="141" t="str">
        <f t="shared" si="20"/>
        <v/>
      </c>
      <c r="BE19" s="141" t="str">
        <f t="shared" si="20"/>
        <v/>
      </c>
      <c r="BF19" s="141" t="str">
        <f t="shared" si="21"/>
        <v/>
      </c>
      <c r="BG19" s="141" t="str">
        <f t="shared" si="21"/>
        <v/>
      </c>
      <c r="BH19" s="141" t="str">
        <f t="shared" si="21"/>
        <v/>
      </c>
      <c r="BI19" s="141" t="str">
        <f t="shared" si="21"/>
        <v/>
      </c>
      <c r="BJ19" s="256" t="str">
        <f t="shared" si="21"/>
        <v/>
      </c>
      <c r="BK19" s="256" t="str">
        <f t="shared" si="21"/>
        <v/>
      </c>
      <c r="BL19" s="256" t="str">
        <f t="shared" ref="BL19:DW19" si="25">IF(AND($C19="Goal",BL$8&gt;=$E19,BL$8&lt;=$E19+$F19-1),2,IF(AND($C19="Milestone",BL$8&gt;=$E19,BL$8&lt;=$E19+$F19-1),1,""))</f>
        <v/>
      </c>
      <c r="BM19" s="256" t="str">
        <f t="shared" si="25"/>
        <v/>
      </c>
      <c r="BN19" s="256" t="str">
        <f t="shared" si="25"/>
        <v/>
      </c>
      <c r="BO19" s="256" t="str">
        <f t="shared" si="25"/>
        <v/>
      </c>
      <c r="BP19" s="256" t="str">
        <f t="shared" si="25"/>
        <v/>
      </c>
      <c r="BQ19" s="256" t="str">
        <f t="shared" si="25"/>
        <v/>
      </c>
      <c r="BR19" s="256" t="str">
        <f t="shared" si="25"/>
        <v/>
      </c>
      <c r="BS19" s="256" t="str">
        <f t="shared" si="25"/>
        <v/>
      </c>
      <c r="BT19" s="256" t="str">
        <f t="shared" si="25"/>
        <v/>
      </c>
      <c r="BU19" s="256" t="str">
        <f t="shared" si="25"/>
        <v/>
      </c>
      <c r="BV19" s="256" t="str">
        <f t="shared" si="25"/>
        <v/>
      </c>
      <c r="BW19" s="256" t="str">
        <f t="shared" si="25"/>
        <v/>
      </c>
      <c r="BX19" s="256" t="str">
        <f t="shared" si="25"/>
        <v/>
      </c>
      <c r="BY19" s="256" t="str">
        <f t="shared" si="25"/>
        <v/>
      </c>
      <c r="BZ19" s="256" t="str">
        <f t="shared" si="25"/>
        <v/>
      </c>
      <c r="CA19" s="256" t="str">
        <f t="shared" si="25"/>
        <v/>
      </c>
      <c r="CB19" s="256" t="str">
        <f t="shared" si="25"/>
        <v/>
      </c>
      <c r="CC19" s="256" t="str">
        <f t="shared" si="25"/>
        <v/>
      </c>
      <c r="CD19" s="256" t="str">
        <f t="shared" si="25"/>
        <v/>
      </c>
      <c r="CE19" s="256" t="str">
        <f t="shared" si="25"/>
        <v/>
      </c>
      <c r="CF19" s="256" t="str">
        <f t="shared" si="25"/>
        <v/>
      </c>
      <c r="CG19" s="256" t="str">
        <f t="shared" si="25"/>
        <v/>
      </c>
      <c r="CH19" s="256" t="str">
        <f t="shared" si="25"/>
        <v/>
      </c>
      <c r="CI19" s="256" t="str">
        <f t="shared" si="25"/>
        <v/>
      </c>
      <c r="CJ19" s="256" t="str">
        <f t="shared" si="25"/>
        <v/>
      </c>
      <c r="CK19" s="256" t="str">
        <f t="shared" si="25"/>
        <v/>
      </c>
      <c r="CL19" s="256" t="str">
        <f t="shared" si="25"/>
        <v/>
      </c>
      <c r="CM19" s="256" t="str">
        <f t="shared" si="25"/>
        <v/>
      </c>
      <c r="CN19" s="256" t="str">
        <f t="shared" si="25"/>
        <v/>
      </c>
      <c r="CO19" s="256" t="str">
        <f t="shared" si="25"/>
        <v/>
      </c>
      <c r="CP19" s="256" t="str">
        <f t="shared" si="25"/>
        <v/>
      </c>
      <c r="CQ19" s="256" t="str">
        <f t="shared" si="25"/>
        <v/>
      </c>
      <c r="CR19" s="256" t="str">
        <f t="shared" si="25"/>
        <v/>
      </c>
      <c r="CS19" s="256" t="str">
        <f t="shared" si="25"/>
        <v/>
      </c>
      <c r="CT19" s="256" t="str">
        <f t="shared" si="25"/>
        <v/>
      </c>
      <c r="CU19" s="256" t="str">
        <f t="shared" si="25"/>
        <v/>
      </c>
      <c r="CV19" s="256" t="str">
        <f t="shared" si="25"/>
        <v/>
      </c>
      <c r="CW19" s="256" t="str">
        <f t="shared" si="25"/>
        <v/>
      </c>
      <c r="CX19" s="256" t="str">
        <f t="shared" si="25"/>
        <v/>
      </c>
      <c r="CY19" s="256" t="str">
        <f t="shared" si="25"/>
        <v/>
      </c>
      <c r="CZ19" s="256" t="str">
        <f t="shared" si="25"/>
        <v/>
      </c>
      <c r="DA19" s="256" t="str">
        <f t="shared" si="25"/>
        <v/>
      </c>
      <c r="DB19" s="256" t="str">
        <f t="shared" si="25"/>
        <v/>
      </c>
      <c r="DC19" s="256" t="str">
        <f t="shared" si="25"/>
        <v/>
      </c>
      <c r="DD19" s="256" t="str">
        <f t="shared" si="25"/>
        <v/>
      </c>
      <c r="DE19" s="256" t="str">
        <f t="shared" si="25"/>
        <v/>
      </c>
      <c r="DF19" s="256" t="str">
        <f t="shared" si="25"/>
        <v/>
      </c>
      <c r="DG19" s="256" t="str">
        <f t="shared" si="25"/>
        <v/>
      </c>
      <c r="DH19" s="256" t="str">
        <f t="shared" si="25"/>
        <v/>
      </c>
      <c r="DI19" s="256" t="str">
        <f t="shared" si="25"/>
        <v/>
      </c>
      <c r="DJ19" s="256" t="str">
        <f t="shared" si="25"/>
        <v/>
      </c>
      <c r="DK19" s="256" t="str">
        <f t="shared" si="25"/>
        <v/>
      </c>
      <c r="DL19" s="256" t="str">
        <f t="shared" si="25"/>
        <v/>
      </c>
      <c r="DM19" s="256" t="str">
        <f t="shared" si="25"/>
        <v/>
      </c>
      <c r="DN19" s="256" t="str">
        <f t="shared" si="25"/>
        <v/>
      </c>
      <c r="DO19" s="256" t="str">
        <f t="shared" si="25"/>
        <v/>
      </c>
      <c r="DP19" s="256" t="str">
        <f t="shared" si="25"/>
        <v/>
      </c>
      <c r="DQ19" s="256" t="str">
        <f t="shared" si="25"/>
        <v/>
      </c>
      <c r="DR19" s="256" t="str">
        <f t="shared" si="25"/>
        <v/>
      </c>
      <c r="DS19" s="256" t="str">
        <f t="shared" si="25"/>
        <v/>
      </c>
      <c r="DT19" s="256" t="str">
        <f t="shared" si="25"/>
        <v/>
      </c>
      <c r="DU19" s="256" t="str">
        <f t="shared" si="25"/>
        <v/>
      </c>
      <c r="DV19" s="256" t="str">
        <f t="shared" si="25"/>
        <v/>
      </c>
      <c r="DW19" s="256" t="str">
        <f t="shared" si="25"/>
        <v/>
      </c>
      <c r="DX19" s="256" t="str">
        <f t="shared" si="22"/>
        <v/>
      </c>
      <c r="DY19" s="256" t="str">
        <f t="shared" si="22"/>
        <v/>
      </c>
      <c r="DZ19" s="256" t="str">
        <f t="shared" si="22"/>
        <v/>
      </c>
      <c r="EA19" s="256" t="str">
        <f t="shared" si="22"/>
        <v/>
      </c>
      <c r="EB19" s="256" t="str">
        <f t="shared" si="22"/>
        <v/>
      </c>
      <c r="EC19" s="256" t="str">
        <f t="shared" si="22"/>
        <v/>
      </c>
      <c r="ED19" s="256" t="str">
        <f t="shared" si="22"/>
        <v/>
      </c>
      <c r="EE19" s="256" t="str">
        <f t="shared" si="22"/>
        <v/>
      </c>
      <c r="EF19" s="256" t="str">
        <f t="shared" si="22"/>
        <v/>
      </c>
      <c r="EG19" s="256" t="str">
        <f t="shared" si="22"/>
        <v/>
      </c>
      <c r="EH19" s="256" t="str">
        <f t="shared" si="23"/>
        <v/>
      </c>
      <c r="EI19" s="256" t="str">
        <f t="shared" si="23"/>
        <v/>
      </c>
      <c r="EJ19" s="256" t="str">
        <f t="shared" si="23"/>
        <v/>
      </c>
      <c r="EK19" s="256" t="str">
        <f t="shared" si="23"/>
        <v/>
      </c>
      <c r="EL19" s="256" t="str">
        <f t="shared" si="23"/>
        <v/>
      </c>
      <c r="EM19" s="256" t="str">
        <f t="shared" si="23"/>
        <v/>
      </c>
      <c r="EN19" s="256" t="str">
        <f t="shared" si="23"/>
        <v/>
      </c>
      <c r="EO19" s="256" t="str">
        <f t="shared" si="23"/>
        <v/>
      </c>
      <c r="EP19" s="256" t="str">
        <f t="shared" si="23"/>
        <v/>
      </c>
      <c r="EQ19" s="256" t="str">
        <f t="shared" si="23"/>
        <v/>
      </c>
      <c r="ER19" s="256" t="str">
        <f t="shared" si="23"/>
        <v/>
      </c>
      <c r="ES19" s="256" t="str">
        <f t="shared" si="23"/>
        <v/>
      </c>
      <c r="ET19" s="256" t="str">
        <f t="shared" si="23"/>
        <v/>
      </c>
      <c r="EU19" s="256" t="str">
        <f t="shared" si="23"/>
        <v/>
      </c>
      <c r="EV19" s="256" t="str">
        <f t="shared" si="23"/>
        <v/>
      </c>
      <c r="EW19" s="256" t="str">
        <f t="shared" si="23"/>
        <v/>
      </c>
      <c r="EX19" s="256" t="str">
        <f t="shared" si="23"/>
        <v/>
      </c>
      <c r="EY19" s="256" t="str">
        <f t="shared" si="23"/>
        <v/>
      </c>
      <c r="EZ19" s="256" t="str">
        <f t="shared" si="23"/>
        <v/>
      </c>
      <c r="FA19" s="256" t="str">
        <f t="shared" si="23"/>
        <v/>
      </c>
      <c r="FB19" s="256" t="str">
        <f>IF(AND($C19="Goal",FB$8&gt;=$E19,FB$8&lt;=$E19+$F19-1),2,IF(AND($C19="Milestone",FB$8&gt;=$E19,FB$8&lt;=$E19+$F19-1),1,""))</f>
        <v/>
      </c>
      <c r="FC19" s="256" t="str">
        <f>IF(AND($C19="Goal",FC$8&gt;=$E19,FC$8&lt;=$E19+$F19-1),2,IF(AND($C19="Milestone",FC$8&gt;=$E19,FC$8&lt;=$E19+$F19-1),1,""))</f>
        <v/>
      </c>
      <c r="FD19" s="256" t="str">
        <f t="shared" si="23"/>
        <v/>
      </c>
      <c r="FE19" s="256" t="str">
        <f t="shared" si="23"/>
        <v/>
      </c>
      <c r="FF19" s="256" t="str">
        <f t="shared" si="23"/>
        <v/>
      </c>
      <c r="FG19" s="256" t="str">
        <f t="shared" si="23"/>
        <v/>
      </c>
      <c r="FH19" s="256" t="str">
        <f t="shared" si="23"/>
        <v/>
      </c>
      <c r="FI19" s="256" t="str">
        <f t="shared" si="23"/>
        <v/>
      </c>
      <c r="FJ19" s="256" t="str">
        <f t="shared" si="23"/>
        <v/>
      </c>
      <c r="FK19" s="256" t="str">
        <f t="shared" si="23"/>
        <v/>
      </c>
      <c r="FL19" s="256" t="str">
        <f t="shared" si="23"/>
        <v/>
      </c>
      <c r="FM19" s="256" t="str">
        <f t="shared" si="23"/>
        <v/>
      </c>
      <c r="FN19" s="256" t="str">
        <f t="shared" si="23"/>
        <v/>
      </c>
      <c r="FO19" s="256" t="str">
        <f t="shared" si="23"/>
        <v/>
      </c>
      <c r="FP19" s="256" t="str">
        <f t="shared" si="23"/>
        <v/>
      </c>
      <c r="FQ19" s="256" t="str">
        <f t="shared" si="23"/>
        <v/>
      </c>
      <c r="FR19" s="256" t="str">
        <f t="shared" si="23"/>
        <v/>
      </c>
      <c r="FS19" s="256" t="str">
        <f t="shared" si="23"/>
        <v/>
      </c>
      <c r="FT19" s="256" t="str">
        <f t="shared" si="23"/>
        <v/>
      </c>
      <c r="FU19" s="256" t="str">
        <f t="shared" si="23"/>
        <v/>
      </c>
      <c r="FV19" s="256" t="str">
        <f t="shared" si="23"/>
        <v/>
      </c>
      <c r="FW19" s="256" t="str">
        <f t="shared" si="23"/>
        <v/>
      </c>
      <c r="FX19" s="256" t="str">
        <f t="shared" si="23"/>
        <v/>
      </c>
      <c r="FY19" s="256" t="str">
        <f t="shared" si="23"/>
        <v/>
      </c>
      <c r="FZ19" s="256" t="str">
        <f t="shared" si="23"/>
        <v/>
      </c>
      <c r="GA19" s="256" t="str">
        <f t="shared" si="23"/>
        <v/>
      </c>
      <c r="GB19" s="256" t="str">
        <f t="shared" si="23"/>
        <v/>
      </c>
      <c r="GC19" s="256" t="str">
        <f t="shared" si="23"/>
        <v/>
      </c>
      <c r="GD19" s="256" t="str">
        <f t="shared" si="23"/>
        <v/>
      </c>
      <c r="GE19" s="256" t="str">
        <f t="shared" si="23"/>
        <v/>
      </c>
      <c r="GF19" s="256" t="str">
        <f t="shared" si="23"/>
        <v/>
      </c>
      <c r="GG19" s="256" t="str">
        <f t="shared" si="23"/>
        <v/>
      </c>
      <c r="GH19" s="256" t="str">
        <f t="shared" si="23"/>
        <v/>
      </c>
      <c r="GI19" s="256" t="str">
        <f t="shared" si="23"/>
        <v/>
      </c>
      <c r="GJ19" s="256" t="str">
        <f t="shared" si="23"/>
        <v/>
      </c>
      <c r="GK19" s="256" t="str">
        <f t="shared" si="23"/>
        <v/>
      </c>
      <c r="GL19" s="256" t="str">
        <f t="shared" si="23"/>
        <v/>
      </c>
      <c r="GM19" s="256" t="str">
        <f t="shared" si="23"/>
        <v/>
      </c>
      <c r="GN19" s="256" t="str">
        <f t="shared" si="23"/>
        <v/>
      </c>
      <c r="GO19" s="256" t="str">
        <f t="shared" si="23"/>
        <v/>
      </c>
      <c r="GP19" s="256" t="str">
        <f t="shared" si="23"/>
        <v/>
      </c>
      <c r="GQ19" s="256" t="str">
        <f t="shared" si="23"/>
        <v/>
      </c>
      <c r="GR19" s="256" t="str">
        <f t="shared" si="23"/>
        <v/>
      </c>
      <c r="GS19" s="256" t="str">
        <f t="shared" si="23"/>
        <v/>
      </c>
      <c r="GT19" s="256" t="str">
        <f t="shared" si="24"/>
        <v/>
      </c>
      <c r="GU19" s="256" t="str">
        <f t="shared" si="24"/>
        <v/>
      </c>
      <c r="GV19" s="256" t="str">
        <f t="shared" si="24"/>
        <v/>
      </c>
      <c r="GW19" s="256" t="str">
        <f t="shared" si="24"/>
        <v/>
      </c>
      <c r="GX19" s="256" t="str">
        <f t="shared" si="24"/>
        <v/>
      </c>
      <c r="GY19" s="256" t="str">
        <f t="shared" si="24"/>
        <v/>
      </c>
      <c r="GZ19" s="256" t="str">
        <f t="shared" si="24"/>
        <v/>
      </c>
      <c r="HA19" s="256" t="str">
        <f t="shared" si="24"/>
        <v/>
      </c>
      <c r="HB19" s="256" t="str">
        <f t="shared" si="24"/>
        <v/>
      </c>
      <c r="HC19" s="256" t="str">
        <f t="shared" si="24"/>
        <v/>
      </c>
      <c r="HD19" s="256" t="str">
        <f t="shared" si="24"/>
        <v/>
      </c>
      <c r="HE19" s="256" t="str">
        <f t="shared" si="24"/>
        <v/>
      </c>
      <c r="HF19" s="256" t="str">
        <f t="shared" ref="HF19:HJ19" si="26">IF(AND($C19="Goal",HF$8&gt;=$E19,HF$8&lt;=$E19+$F19-1),2,IF(AND($C19="Milestone",HF$8&gt;=$E19,HF$8&lt;=$E19+$F19-1),1,""))</f>
        <v/>
      </c>
      <c r="HG19" s="256" t="str">
        <f t="shared" si="26"/>
        <v/>
      </c>
      <c r="HH19" s="256" t="str">
        <f t="shared" si="26"/>
        <v/>
      </c>
      <c r="HI19" s="256" t="str">
        <f t="shared" si="26"/>
        <v/>
      </c>
      <c r="HJ19" s="256" t="str">
        <f t="shared" si="26"/>
        <v/>
      </c>
    </row>
    <row r="20" spans="1:218" s="134" customFormat="1" ht="40.200000000000003" customHeight="1">
      <c r="A20" s="90"/>
      <c r="B20" s="258" t="s">
        <v>437</v>
      </c>
      <c r="C20" s="136"/>
      <c r="D20" s="144"/>
      <c r="E20" s="103"/>
      <c r="F20" s="142"/>
      <c r="G20" s="136"/>
      <c r="H20" s="141"/>
      <c r="I20" s="141"/>
      <c r="J20" s="141"/>
      <c r="K20" s="256"/>
      <c r="L20" s="256"/>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256"/>
      <c r="BK20" s="256"/>
      <c r="BL20" s="256"/>
      <c r="BM20" s="256"/>
      <c r="BN20" s="256"/>
      <c r="BO20" s="256"/>
      <c r="BP20" s="256"/>
      <c r="BQ20" s="256"/>
      <c r="BR20" s="256"/>
      <c r="BS20" s="256"/>
      <c r="BT20" s="256"/>
      <c r="BU20" s="256"/>
      <c r="BV20" s="256"/>
      <c r="BW20" s="256"/>
      <c r="BX20" s="256"/>
      <c r="BY20" s="256"/>
      <c r="BZ20" s="256"/>
      <c r="CA20" s="256"/>
      <c r="CB20" s="256"/>
      <c r="CC20" s="256"/>
      <c r="CD20" s="256"/>
      <c r="CE20" s="256"/>
      <c r="CF20" s="256"/>
      <c r="CG20" s="256"/>
      <c r="CH20" s="256"/>
      <c r="CI20" s="256"/>
      <c r="CJ20" s="256"/>
      <c r="CK20" s="256"/>
      <c r="CL20" s="256"/>
      <c r="CM20" s="256"/>
      <c r="CN20" s="256"/>
      <c r="CO20" s="256"/>
      <c r="CP20" s="256"/>
      <c r="CQ20" s="256"/>
      <c r="CR20" s="256"/>
      <c r="CS20" s="256"/>
      <c r="CT20" s="256"/>
      <c r="CU20" s="256"/>
      <c r="CV20" s="256"/>
      <c r="CW20" s="256"/>
      <c r="CX20" s="256"/>
      <c r="CY20" s="256"/>
      <c r="CZ20" s="256"/>
      <c r="DA20" s="256"/>
      <c r="DB20" s="256"/>
      <c r="DC20" s="256"/>
      <c r="DD20" s="256"/>
      <c r="DE20" s="256"/>
      <c r="DF20" s="256"/>
      <c r="DG20" s="256"/>
      <c r="DH20" s="256"/>
      <c r="DI20" s="256"/>
      <c r="DJ20" s="256"/>
      <c r="DK20" s="256"/>
      <c r="DL20" s="256"/>
      <c r="DM20" s="256"/>
      <c r="DN20" s="256"/>
      <c r="DO20" s="256"/>
      <c r="DP20" s="256"/>
      <c r="DQ20" s="256"/>
      <c r="DR20" s="256"/>
      <c r="DS20" s="256"/>
      <c r="DT20" s="256"/>
      <c r="DU20" s="256"/>
      <c r="DV20" s="256"/>
      <c r="DW20" s="256"/>
      <c r="DX20" s="256"/>
      <c r="DY20" s="256"/>
      <c r="DZ20" s="256"/>
      <c r="EA20" s="256"/>
      <c r="EB20" s="256"/>
      <c r="EC20" s="256"/>
      <c r="ED20" s="256"/>
      <c r="EE20" s="256"/>
      <c r="EF20" s="256"/>
      <c r="EG20" s="256"/>
      <c r="EH20" s="256"/>
      <c r="EI20" s="256"/>
      <c r="EJ20" s="256"/>
      <c r="EK20" s="256"/>
      <c r="EL20" s="256"/>
      <c r="EM20" s="256"/>
      <c r="EN20" s="256"/>
      <c r="EO20" s="256"/>
      <c r="EP20" s="256"/>
      <c r="EQ20" s="256"/>
      <c r="ER20" s="256"/>
      <c r="ES20" s="256"/>
      <c r="ET20" s="256"/>
      <c r="EU20" s="256"/>
      <c r="EV20" s="256"/>
      <c r="EW20" s="256"/>
      <c r="EX20" s="256"/>
      <c r="EY20" s="256"/>
      <c r="EZ20" s="256"/>
      <c r="FA20" s="256"/>
      <c r="FB20" s="256"/>
      <c r="FC20" s="256"/>
      <c r="FD20" s="256"/>
      <c r="FE20" s="256"/>
      <c r="FF20" s="256"/>
      <c r="FG20" s="256"/>
      <c r="FH20" s="256"/>
      <c r="FI20" s="256"/>
      <c r="FJ20" s="256"/>
      <c r="FK20" s="256"/>
      <c r="FL20" s="256"/>
      <c r="FM20" s="256"/>
      <c r="FN20" s="256"/>
      <c r="FO20" s="256"/>
      <c r="FP20" s="256"/>
      <c r="FQ20" s="256"/>
      <c r="FR20" s="256"/>
      <c r="FS20" s="256"/>
      <c r="FT20" s="256"/>
      <c r="FU20" s="256"/>
      <c r="FV20" s="256"/>
      <c r="FW20" s="256"/>
      <c r="FX20" s="256"/>
      <c r="FY20" s="256"/>
      <c r="FZ20" s="256"/>
      <c r="GA20" s="256"/>
      <c r="GB20" s="256"/>
      <c r="GC20" s="256"/>
      <c r="GD20" s="256"/>
      <c r="GE20" s="256"/>
      <c r="GF20" s="256"/>
      <c r="GG20" s="256"/>
      <c r="GH20" s="256"/>
      <c r="GI20" s="256"/>
      <c r="GJ20" s="256"/>
      <c r="GK20" s="256"/>
      <c r="GL20" s="256"/>
      <c r="GM20" s="256"/>
      <c r="GN20" s="256"/>
      <c r="GO20" s="256"/>
      <c r="GP20" s="256"/>
      <c r="GQ20" s="256"/>
      <c r="GR20" s="256"/>
      <c r="GS20" s="256"/>
      <c r="GT20" s="256"/>
      <c r="GU20" s="256"/>
      <c r="GV20" s="256"/>
      <c r="GW20" s="256"/>
      <c r="GX20" s="256"/>
      <c r="GY20" s="256"/>
      <c r="GZ20" s="256"/>
      <c r="HA20" s="256"/>
      <c r="HB20" s="256"/>
      <c r="HC20" s="256"/>
      <c r="HD20" s="256"/>
      <c r="HE20" s="256"/>
      <c r="HF20" s="256"/>
      <c r="HG20" s="256"/>
      <c r="HH20" s="256"/>
      <c r="HI20" s="256"/>
      <c r="HJ20" s="256"/>
    </row>
    <row r="21" spans="1:218" s="134" customFormat="1" ht="40.200000000000003" customHeight="1">
      <c r="A21" s="90"/>
      <c r="B21" s="145" t="s">
        <v>438</v>
      </c>
      <c r="C21" s="136" t="s">
        <v>432</v>
      </c>
      <c r="D21" s="144"/>
      <c r="E21" s="143">
        <f>E19+3</f>
        <v>45799</v>
      </c>
      <c r="F21" s="142">
        <v>14</v>
      </c>
      <c r="G21" s="136"/>
      <c r="H21" s="141" t="str">
        <f t="shared" ref="H21:Q27" si="27">IF(AND($C21="Goal",H$8&gt;=$E21,H$8&lt;=$E21+$F21-1),2,IF(AND($C21="Milestone",H$8&gt;=$E21,H$8&lt;=$E21+$F21-1),1,""))</f>
        <v/>
      </c>
      <c r="I21" s="141" t="str">
        <f t="shared" si="27"/>
        <v/>
      </c>
      <c r="J21" s="141" t="str">
        <f t="shared" si="27"/>
        <v/>
      </c>
      <c r="K21" s="256" t="str">
        <f t="shared" si="27"/>
        <v/>
      </c>
      <c r="L21" s="256" t="str">
        <f t="shared" si="27"/>
        <v/>
      </c>
      <c r="M21" s="141" t="str">
        <f t="shared" si="27"/>
        <v/>
      </c>
      <c r="N21" s="141" t="str">
        <f t="shared" si="27"/>
        <v/>
      </c>
      <c r="O21" s="141" t="str">
        <f t="shared" si="27"/>
        <v/>
      </c>
      <c r="P21" s="141" t="str">
        <f t="shared" si="27"/>
        <v/>
      </c>
      <c r="Q21" s="141" t="str">
        <f t="shared" si="27"/>
        <v/>
      </c>
      <c r="R21" s="141" t="str">
        <f t="shared" ref="R21:AA27" si="28">IF(AND($C21="Goal",R$8&gt;=$E21,R$8&lt;=$E21+$F21-1),2,IF(AND($C21="Milestone",R$8&gt;=$E21,R$8&lt;=$E21+$F21-1),1,""))</f>
        <v/>
      </c>
      <c r="S21" s="141" t="str">
        <f t="shared" si="28"/>
        <v/>
      </c>
      <c r="T21" s="141" t="str">
        <f t="shared" si="28"/>
        <v/>
      </c>
      <c r="U21" s="141" t="str">
        <f t="shared" si="28"/>
        <v/>
      </c>
      <c r="V21" s="141" t="str">
        <f t="shared" si="28"/>
        <v/>
      </c>
      <c r="W21" s="141" t="str">
        <f t="shared" si="28"/>
        <v/>
      </c>
      <c r="X21" s="141" t="str">
        <f t="shared" si="28"/>
        <v/>
      </c>
      <c r="Y21" s="141" t="str">
        <f t="shared" si="28"/>
        <v/>
      </c>
      <c r="Z21" s="141" t="str">
        <f t="shared" si="28"/>
        <v/>
      </c>
      <c r="AA21" s="141" t="str">
        <f t="shared" si="28"/>
        <v/>
      </c>
      <c r="AB21" s="141" t="str">
        <f t="shared" ref="AB21:AK27" si="29">IF(AND($C21="Goal",AB$8&gt;=$E21,AB$8&lt;=$E21+$F21-1),2,IF(AND($C21="Milestone",AB$8&gt;=$E21,AB$8&lt;=$E21+$F21-1),1,""))</f>
        <v/>
      </c>
      <c r="AC21" s="141" t="str">
        <f t="shared" si="29"/>
        <v/>
      </c>
      <c r="AD21" s="141" t="str">
        <f t="shared" si="29"/>
        <v/>
      </c>
      <c r="AE21" s="141" t="str">
        <f t="shared" si="29"/>
        <v/>
      </c>
      <c r="AF21" s="141" t="str">
        <f t="shared" si="29"/>
        <v/>
      </c>
      <c r="AG21" s="141" t="str">
        <f t="shared" si="29"/>
        <v/>
      </c>
      <c r="AH21" s="141" t="str">
        <f t="shared" si="29"/>
        <v/>
      </c>
      <c r="AI21" s="141" t="str">
        <f t="shared" si="29"/>
        <v/>
      </c>
      <c r="AJ21" s="141" t="str">
        <f t="shared" si="29"/>
        <v/>
      </c>
      <c r="AK21" s="141" t="str">
        <f t="shared" si="29"/>
        <v/>
      </c>
      <c r="AL21" s="141" t="str">
        <f t="shared" ref="AL21:AU27" si="30">IF(AND($C21="Goal",AL$8&gt;=$E21,AL$8&lt;=$E21+$F21-1),2,IF(AND($C21="Milestone",AL$8&gt;=$E21,AL$8&lt;=$E21+$F21-1),1,""))</f>
        <v/>
      </c>
      <c r="AM21" s="141" t="str">
        <f t="shared" si="30"/>
        <v/>
      </c>
      <c r="AN21" s="141" t="str">
        <f t="shared" si="30"/>
        <v/>
      </c>
      <c r="AO21" s="141" t="str">
        <f t="shared" si="30"/>
        <v/>
      </c>
      <c r="AP21" s="141" t="str">
        <f t="shared" si="30"/>
        <v/>
      </c>
      <c r="AQ21" s="141" t="str">
        <f t="shared" si="30"/>
        <v/>
      </c>
      <c r="AR21" s="141" t="str">
        <f t="shared" si="30"/>
        <v/>
      </c>
      <c r="AS21" s="141" t="str">
        <f t="shared" si="30"/>
        <v/>
      </c>
      <c r="AT21" s="141" t="str">
        <f t="shared" si="30"/>
        <v/>
      </c>
      <c r="AU21" s="141" t="str">
        <f t="shared" si="30"/>
        <v/>
      </c>
      <c r="AV21" s="141" t="str">
        <f t="shared" ref="AV21:BE27" si="31">IF(AND($C21="Goal",AV$8&gt;=$E21,AV$8&lt;=$E21+$F21-1),2,IF(AND($C21="Milestone",AV$8&gt;=$E21,AV$8&lt;=$E21+$F21-1),1,""))</f>
        <v/>
      </c>
      <c r="AW21" s="141" t="str">
        <f t="shared" si="31"/>
        <v/>
      </c>
      <c r="AX21" s="141" t="str">
        <f t="shared" si="31"/>
        <v/>
      </c>
      <c r="AY21" s="141" t="str">
        <f t="shared" si="31"/>
        <v/>
      </c>
      <c r="AZ21" s="141" t="str">
        <f t="shared" si="31"/>
        <v/>
      </c>
      <c r="BA21" s="141" t="str">
        <f t="shared" si="31"/>
        <v/>
      </c>
      <c r="BB21" s="141" t="str">
        <f t="shared" si="31"/>
        <v/>
      </c>
      <c r="BC21" s="141" t="str">
        <f t="shared" si="31"/>
        <v/>
      </c>
      <c r="BD21" s="141" t="str">
        <f t="shared" si="31"/>
        <v/>
      </c>
      <c r="BE21" s="141" t="str">
        <f t="shared" si="31"/>
        <v/>
      </c>
      <c r="BF21" s="141" t="str">
        <f t="shared" ref="BF21:BU27" si="32">IF(AND($C21="Goal",BF$8&gt;=$E21,BF$8&lt;=$E21+$F21-1),2,IF(AND($C21="Milestone",BF$8&gt;=$E21,BF$8&lt;=$E21+$F21-1),1,""))</f>
        <v/>
      </c>
      <c r="BG21" s="141" t="str">
        <f t="shared" si="32"/>
        <v/>
      </c>
      <c r="BH21" s="141" t="str">
        <f t="shared" si="32"/>
        <v/>
      </c>
      <c r="BI21" s="141" t="str">
        <f t="shared" si="32"/>
        <v/>
      </c>
      <c r="BJ21" s="256" t="str">
        <f t="shared" si="32"/>
        <v/>
      </c>
      <c r="BK21" s="256" t="str">
        <f t="shared" si="32"/>
        <v/>
      </c>
      <c r="BL21" s="256" t="str">
        <f t="shared" si="32"/>
        <v/>
      </c>
      <c r="BM21" s="256" t="str">
        <f t="shared" si="32"/>
        <v/>
      </c>
      <c r="BN21" s="256" t="str">
        <f t="shared" si="32"/>
        <v/>
      </c>
      <c r="BO21" s="256" t="str">
        <f t="shared" si="32"/>
        <v/>
      </c>
      <c r="BP21" s="256" t="str">
        <f t="shared" si="32"/>
        <v/>
      </c>
      <c r="BQ21" s="256" t="str">
        <f t="shared" si="32"/>
        <v/>
      </c>
      <c r="BR21" s="256" t="str">
        <f t="shared" si="32"/>
        <v/>
      </c>
      <c r="BS21" s="256" t="str">
        <f t="shared" si="32"/>
        <v/>
      </c>
      <c r="BT21" s="256" t="str">
        <f t="shared" si="32"/>
        <v/>
      </c>
      <c r="BU21" s="256" t="str">
        <f t="shared" si="32"/>
        <v/>
      </c>
      <c r="BV21" s="256" t="str">
        <f t="shared" ref="BV21:EG24" si="33">IF(AND($C21="Goal",BV$8&gt;=$E21,BV$8&lt;=$E21+$F21-1),2,IF(AND($C21="Milestone",BV$8&gt;=$E21,BV$8&lt;=$E21+$F21-1),1,""))</f>
        <v/>
      </c>
      <c r="BW21" s="256" t="str">
        <f t="shared" si="33"/>
        <v/>
      </c>
      <c r="BX21" s="256" t="str">
        <f t="shared" si="33"/>
        <v/>
      </c>
      <c r="BY21" s="256" t="str">
        <f t="shared" si="33"/>
        <v/>
      </c>
      <c r="BZ21" s="256" t="str">
        <f t="shared" si="33"/>
        <v/>
      </c>
      <c r="CA21" s="256" t="str">
        <f t="shared" si="33"/>
        <v/>
      </c>
      <c r="CB21" s="256" t="str">
        <f t="shared" si="33"/>
        <v/>
      </c>
      <c r="CC21" s="256" t="str">
        <f t="shared" si="33"/>
        <v/>
      </c>
      <c r="CD21" s="256" t="str">
        <f t="shared" si="33"/>
        <v/>
      </c>
      <c r="CE21" s="256" t="str">
        <f t="shared" si="33"/>
        <v/>
      </c>
      <c r="CF21" s="256" t="str">
        <f t="shared" si="33"/>
        <v/>
      </c>
      <c r="CG21" s="256" t="str">
        <f t="shared" si="33"/>
        <v/>
      </c>
      <c r="CH21" s="256" t="str">
        <f t="shared" si="33"/>
        <v/>
      </c>
      <c r="CI21" s="256" t="str">
        <f t="shared" si="33"/>
        <v/>
      </c>
      <c r="CJ21" s="256" t="str">
        <f t="shared" si="33"/>
        <v/>
      </c>
      <c r="CK21" s="256" t="str">
        <f t="shared" si="33"/>
        <v/>
      </c>
      <c r="CL21" s="256" t="str">
        <f t="shared" si="33"/>
        <v/>
      </c>
      <c r="CM21" s="256" t="str">
        <f t="shared" si="33"/>
        <v/>
      </c>
      <c r="CN21" s="256" t="str">
        <f t="shared" si="33"/>
        <v/>
      </c>
      <c r="CO21" s="256" t="str">
        <f t="shared" si="33"/>
        <v/>
      </c>
      <c r="CP21" s="256" t="str">
        <f t="shared" si="33"/>
        <v/>
      </c>
      <c r="CQ21" s="256" t="str">
        <f t="shared" si="33"/>
        <v/>
      </c>
      <c r="CR21" s="256" t="str">
        <f t="shared" si="33"/>
        <v/>
      </c>
      <c r="CS21" s="256" t="str">
        <f t="shared" si="33"/>
        <v/>
      </c>
      <c r="CT21" s="256" t="str">
        <f t="shared" si="33"/>
        <v/>
      </c>
      <c r="CU21" s="256" t="str">
        <f t="shared" si="33"/>
        <v/>
      </c>
      <c r="CV21" s="256" t="str">
        <f t="shared" si="33"/>
        <v/>
      </c>
      <c r="CW21" s="256" t="str">
        <f t="shared" si="33"/>
        <v/>
      </c>
      <c r="CX21" s="256" t="str">
        <f t="shared" si="33"/>
        <v/>
      </c>
      <c r="CY21" s="256" t="str">
        <f t="shared" si="33"/>
        <v/>
      </c>
      <c r="CZ21" s="256" t="str">
        <f t="shared" si="33"/>
        <v/>
      </c>
      <c r="DA21" s="256" t="str">
        <f t="shared" si="33"/>
        <v/>
      </c>
      <c r="DB21" s="256" t="str">
        <f t="shared" si="33"/>
        <v/>
      </c>
      <c r="DC21" s="256" t="str">
        <f t="shared" si="33"/>
        <v/>
      </c>
      <c r="DD21" s="256" t="str">
        <f t="shared" si="33"/>
        <v/>
      </c>
      <c r="DE21" s="256" t="str">
        <f t="shared" si="33"/>
        <v/>
      </c>
      <c r="DF21" s="256" t="str">
        <f t="shared" si="33"/>
        <v/>
      </c>
      <c r="DG21" s="256" t="str">
        <f t="shared" si="33"/>
        <v/>
      </c>
      <c r="DH21" s="256" t="str">
        <f t="shared" si="33"/>
        <v/>
      </c>
      <c r="DI21" s="256" t="str">
        <f t="shared" si="33"/>
        <v/>
      </c>
      <c r="DJ21" s="256" t="str">
        <f t="shared" si="33"/>
        <v/>
      </c>
      <c r="DK21" s="256" t="str">
        <f t="shared" si="33"/>
        <v/>
      </c>
      <c r="DL21" s="256" t="str">
        <f t="shared" si="33"/>
        <v/>
      </c>
      <c r="DM21" s="256" t="str">
        <f t="shared" si="33"/>
        <v/>
      </c>
      <c r="DN21" s="256" t="str">
        <f t="shared" si="33"/>
        <v/>
      </c>
      <c r="DO21" s="256" t="str">
        <f t="shared" si="33"/>
        <v/>
      </c>
      <c r="DP21" s="256" t="str">
        <f t="shared" si="33"/>
        <v/>
      </c>
      <c r="DQ21" s="256" t="str">
        <f t="shared" si="33"/>
        <v/>
      </c>
      <c r="DR21" s="256" t="str">
        <f t="shared" si="33"/>
        <v/>
      </c>
      <c r="DS21" s="256" t="str">
        <f t="shared" si="33"/>
        <v/>
      </c>
      <c r="DT21" s="256" t="str">
        <f t="shared" si="33"/>
        <v/>
      </c>
      <c r="DU21" s="256" t="str">
        <f t="shared" si="33"/>
        <v/>
      </c>
      <c r="DV21" s="256" t="str">
        <f t="shared" si="33"/>
        <v/>
      </c>
      <c r="DW21" s="256" t="str">
        <f t="shared" si="33"/>
        <v/>
      </c>
      <c r="DX21" s="256" t="str">
        <f t="shared" si="33"/>
        <v/>
      </c>
      <c r="DY21" s="256" t="str">
        <f t="shared" si="33"/>
        <v/>
      </c>
      <c r="DZ21" s="256" t="str">
        <f t="shared" si="33"/>
        <v/>
      </c>
      <c r="EA21" s="256" t="str">
        <f t="shared" si="33"/>
        <v/>
      </c>
      <c r="EB21" s="256" t="str">
        <f t="shared" si="33"/>
        <v/>
      </c>
      <c r="EC21" s="256" t="str">
        <f t="shared" si="33"/>
        <v/>
      </c>
      <c r="ED21" s="256" t="str">
        <f t="shared" si="33"/>
        <v/>
      </c>
      <c r="EE21" s="256" t="str">
        <f t="shared" si="33"/>
        <v/>
      </c>
      <c r="EF21" s="256" t="str">
        <f t="shared" si="33"/>
        <v/>
      </c>
      <c r="EG21" s="256" t="str">
        <f t="shared" si="33"/>
        <v/>
      </c>
      <c r="EH21" s="256" t="str">
        <f t="shared" ref="EH21:GS24" si="34">IF(AND($C21="Goal",EH$8&gt;=$E21,EH$8&lt;=$E21+$F21-1),2,IF(AND($C21="Milestone",EH$8&gt;=$E21,EH$8&lt;=$E21+$F21-1),1,""))</f>
        <v/>
      </c>
      <c r="EI21" s="256" t="str">
        <f t="shared" si="34"/>
        <v/>
      </c>
      <c r="EJ21" s="256" t="str">
        <f t="shared" si="34"/>
        <v/>
      </c>
      <c r="EK21" s="256" t="str">
        <f t="shared" si="34"/>
        <v/>
      </c>
      <c r="EL21" s="256" t="str">
        <f t="shared" si="34"/>
        <v/>
      </c>
      <c r="EM21" s="256" t="str">
        <f t="shared" si="34"/>
        <v/>
      </c>
      <c r="EN21" s="256" t="str">
        <f t="shared" si="34"/>
        <v/>
      </c>
      <c r="EO21" s="256" t="str">
        <f t="shared" si="34"/>
        <v/>
      </c>
      <c r="EP21" s="256" t="str">
        <f t="shared" si="34"/>
        <v/>
      </c>
      <c r="EQ21" s="256" t="str">
        <f t="shared" si="34"/>
        <v/>
      </c>
      <c r="ER21" s="256" t="str">
        <f t="shared" si="34"/>
        <v/>
      </c>
      <c r="ES21" s="256" t="str">
        <f t="shared" si="34"/>
        <v/>
      </c>
      <c r="ET21" s="256" t="str">
        <f t="shared" si="34"/>
        <v/>
      </c>
      <c r="EU21" s="256" t="str">
        <f t="shared" si="34"/>
        <v/>
      </c>
      <c r="EV21" s="256" t="str">
        <f t="shared" si="34"/>
        <v/>
      </c>
      <c r="EW21" s="256" t="str">
        <f t="shared" si="34"/>
        <v/>
      </c>
      <c r="EX21" s="256" t="str">
        <f t="shared" si="34"/>
        <v/>
      </c>
      <c r="EY21" s="256" t="str">
        <f t="shared" si="34"/>
        <v/>
      </c>
      <c r="EZ21" s="256" t="str">
        <f t="shared" si="34"/>
        <v/>
      </c>
      <c r="FA21" s="256" t="str">
        <f t="shared" si="34"/>
        <v/>
      </c>
      <c r="FB21" s="256" t="str">
        <f t="shared" ref="FB21:FC27" si="35">IF(AND($C21="Goal",FB$8&gt;=$E21,FB$8&lt;=$E21+$F21-1),2,IF(AND($C21="Milestone",FB$8&gt;=$E21,FB$8&lt;=$E21+$F21-1),1,""))</f>
        <v/>
      </c>
      <c r="FC21" s="256" t="str">
        <f t="shared" si="35"/>
        <v/>
      </c>
      <c r="FD21" s="256" t="str">
        <f t="shared" si="34"/>
        <v/>
      </c>
      <c r="FE21" s="256" t="str">
        <f t="shared" si="34"/>
        <v/>
      </c>
      <c r="FF21" s="256" t="str">
        <f t="shared" si="34"/>
        <v/>
      </c>
      <c r="FG21" s="256" t="str">
        <f t="shared" si="34"/>
        <v/>
      </c>
      <c r="FH21" s="256" t="str">
        <f t="shared" si="34"/>
        <v/>
      </c>
      <c r="FI21" s="256" t="str">
        <f t="shared" si="34"/>
        <v/>
      </c>
      <c r="FJ21" s="256" t="str">
        <f t="shared" si="34"/>
        <v/>
      </c>
      <c r="FK21" s="256" t="str">
        <f t="shared" si="34"/>
        <v/>
      </c>
      <c r="FL21" s="256" t="str">
        <f t="shared" si="34"/>
        <v/>
      </c>
      <c r="FM21" s="256" t="str">
        <f t="shared" si="34"/>
        <v/>
      </c>
      <c r="FN21" s="256" t="str">
        <f t="shared" si="34"/>
        <v/>
      </c>
      <c r="FO21" s="256" t="str">
        <f t="shared" si="34"/>
        <v/>
      </c>
      <c r="FP21" s="256" t="str">
        <f t="shared" si="34"/>
        <v/>
      </c>
      <c r="FQ21" s="256" t="str">
        <f t="shared" si="34"/>
        <v/>
      </c>
      <c r="FR21" s="256" t="str">
        <f t="shared" si="34"/>
        <v/>
      </c>
      <c r="FS21" s="256" t="str">
        <f t="shared" si="34"/>
        <v/>
      </c>
      <c r="FT21" s="256" t="str">
        <f t="shared" si="34"/>
        <v/>
      </c>
      <c r="FU21" s="256" t="str">
        <f t="shared" si="34"/>
        <v/>
      </c>
      <c r="FV21" s="256" t="str">
        <f t="shared" si="34"/>
        <v/>
      </c>
      <c r="FW21" s="256" t="str">
        <f t="shared" si="34"/>
        <v/>
      </c>
      <c r="FX21" s="256" t="str">
        <f t="shared" si="34"/>
        <v/>
      </c>
      <c r="FY21" s="256" t="str">
        <f t="shared" si="34"/>
        <v/>
      </c>
      <c r="FZ21" s="256" t="str">
        <f t="shared" si="34"/>
        <v/>
      </c>
      <c r="GA21" s="256" t="str">
        <f t="shared" si="34"/>
        <v/>
      </c>
      <c r="GB21" s="256" t="str">
        <f t="shared" si="34"/>
        <v/>
      </c>
      <c r="GC21" s="256" t="str">
        <f t="shared" si="34"/>
        <v/>
      </c>
      <c r="GD21" s="256" t="str">
        <f t="shared" si="34"/>
        <v/>
      </c>
      <c r="GE21" s="256" t="str">
        <f t="shared" si="34"/>
        <v/>
      </c>
      <c r="GF21" s="256" t="str">
        <f t="shared" si="34"/>
        <v/>
      </c>
      <c r="GG21" s="256" t="str">
        <f t="shared" si="34"/>
        <v/>
      </c>
      <c r="GH21" s="256" t="str">
        <f t="shared" si="34"/>
        <v/>
      </c>
      <c r="GI21" s="256" t="str">
        <f t="shared" si="34"/>
        <v/>
      </c>
      <c r="GJ21" s="256" t="str">
        <f t="shared" si="34"/>
        <v/>
      </c>
      <c r="GK21" s="256" t="str">
        <f t="shared" si="34"/>
        <v/>
      </c>
      <c r="GL21" s="256" t="str">
        <f t="shared" si="34"/>
        <v/>
      </c>
      <c r="GM21" s="256" t="str">
        <f t="shared" si="34"/>
        <v/>
      </c>
      <c r="GN21" s="256" t="str">
        <f t="shared" si="34"/>
        <v/>
      </c>
      <c r="GO21" s="256" t="str">
        <f t="shared" si="34"/>
        <v/>
      </c>
      <c r="GP21" s="256" t="str">
        <f t="shared" si="34"/>
        <v/>
      </c>
      <c r="GQ21" s="256" t="str">
        <f t="shared" si="34"/>
        <v/>
      </c>
      <c r="GR21" s="256" t="str">
        <f t="shared" si="34"/>
        <v/>
      </c>
      <c r="GS21" s="256" t="str">
        <f t="shared" si="34"/>
        <v/>
      </c>
      <c r="GT21" s="256" t="str">
        <f t="shared" ref="GT21:HJ23" si="36">IF(AND($C21="Goal",GT$8&gt;=$E21,GT$8&lt;=$E21+$F21-1),2,IF(AND($C21="Milestone",GT$8&gt;=$E21,GT$8&lt;=$E21+$F21-1),1,""))</f>
        <v/>
      </c>
      <c r="GU21" s="256" t="str">
        <f t="shared" si="36"/>
        <v/>
      </c>
      <c r="GV21" s="256" t="str">
        <f t="shared" si="36"/>
        <v/>
      </c>
      <c r="GW21" s="256" t="str">
        <f t="shared" si="36"/>
        <v/>
      </c>
      <c r="GX21" s="256" t="str">
        <f t="shared" si="36"/>
        <v/>
      </c>
      <c r="GY21" s="256" t="str">
        <f t="shared" si="36"/>
        <v/>
      </c>
      <c r="GZ21" s="256" t="str">
        <f t="shared" si="36"/>
        <v/>
      </c>
      <c r="HA21" s="256" t="str">
        <f t="shared" si="36"/>
        <v/>
      </c>
      <c r="HB21" s="256" t="str">
        <f t="shared" si="36"/>
        <v/>
      </c>
      <c r="HC21" s="256" t="str">
        <f t="shared" si="36"/>
        <v/>
      </c>
      <c r="HD21" s="256" t="str">
        <f t="shared" si="36"/>
        <v/>
      </c>
      <c r="HE21" s="256" t="str">
        <f t="shared" si="36"/>
        <v/>
      </c>
      <c r="HF21" s="256" t="str">
        <f t="shared" si="36"/>
        <v/>
      </c>
      <c r="HG21" s="256" t="str">
        <f t="shared" si="36"/>
        <v/>
      </c>
      <c r="HH21" s="256" t="str">
        <f t="shared" si="36"/>
        <v/>
      </c>
      <c r="HI21" s="256" t="str">
        <f t="shared" si="36"/>
        <v/>
      </c>
      <c r="HJ21" s="256" t="str">
        <f t="shared" si="36"/>
        <v/>
      </c>
    </row>
    <row r="22" spans="1:218" s="134" customFormat="1" ht="40.200000000000003" customHeight="1">
      <c r="A22" s="90"/>
      <c r="B22" s="182" t="s">
        <v>436</v>
      </c>
      <c r="C22" s="136" t="s">
        <v>432</v>
      </c>
      <c r="D22" s="144"/>
      <c r="E22" s="143">
        <f>E21+15</f>
        <v>45814</v>
      </c>
      <c r="F22" s="142">
        <v>6</v>
      </c>
      <c r="G22" s="136"/>
      <c r="H22" s="141" t="str">
        <f t="shared" si="27"/>
        <v/>
      </c>
      <c r="I22" s="141" t="str">
        <f t="shared" si="27"/>
        <v/>
      </c>
      <c r="J22" s="141" t="str">
        <f t="shared" si="27"/>
        <v/>
      </c>
      <c r="K22" s="256" t="str">
        <f t="shared" si="27"/>
        <v/>
      </c>
      <c r="L22" s="256" t="str">
        <f t="shared" si="27"/>
        <v/>
      </c>
      <c r="M22" s="141" t="str">
        <f t="shared" si="27"/>
        <v/>
      </c>
      <c r="N22" s="141" t="str">
        <f t="shared" si="27"/>
        <v/>
      </c>
      <c r="O22" s="141" t="str">
        <f t="shared" si="27"/>
        <v/>
      </c>
      <c r="P22" s="141" t="str">
        <f t="shared" si="27"/>
        <v/>
      </c>
      <c r="Q22" s="141" t="str">
        <f t="shared" si="27"/>
        <v/>
      </c>
      <c r="R22" s="141" t="str">
        <f t="shared" si="28"/>
        <v/>
      </c>
      <c r="S22" s="141" t="str">
        <f t="shared" si="28"/>
        <v/>
      </c>
      <c r="T22" s="141" t="str">
        <f t="shared" si="28"/>
        <v/>
      </c>
      <c r="U22" s="141" t="str">
        <f t="shared" si="28"/>
        <v/>
      </c>
      <c r="V22" s="141" t="str">
        <f t="shared" si="28"/>
        <v/>
      </c>
      <c r="W22" s="141" t="str">
        <f t="shared" si="28"/>
        <v/>
      </c>
      <c r="X22" s="141" t="str">
        <f t="shared" si="28"/>
        <v/>
      </c>
      <c r="Y22" s="141" t="str">
        <f t="shared" si="28"/>
        <v/>
      </c>
      <c r="Z22" s="141" t="str">
        <f t="shared" si="28"/>
        <v/>
      </c>
      <c r="AA22" s="141" t="str">
        <f t="shared" si="28"/>
        <v/>
      </c>
      <c r="AB22" s="141" t="str">
        <f t="shared" si="29"/>
        <v/>
      </c>
      <c r="AC22" s="141" t="str">
        <f t="shared" si="29"/>
        <v/>
      </c>
      <c r="AD22" s="141" t="str">
        <f t="shared" si="29"/>
        <v/>
      </c>
      <c r="AE22" s="141" t="str">
        <f t="shared" si="29"/>
        <v/>
      </c>
      <c r="AF22" s="141" t="str">
        <f t="shared" si="29"/>
        <v/>
      </c>
      <c r="AG22" s="141" t="str">
        <f t="shared" si="29"/>
        <v/>
      </c>
      <c r="AH22" s="141" t="str">
        <f t="shared" si="29"/>
        <v/>
      </c>
      <c r="AI22" s="141" t="str">
        <f t="shared" si="29"/>
        <v/>
      </c>
      <c r="AJ22" s="141" t="str">
        <f t="shared" si="29"/>
        <v/>
      </c>
      <c r="AK22" s="141" t="str">
        <f t="shared" si="29"/>
        <v/>
      </c>
      <c r="AL22" s="141" t="str">
        <f t="shared" si="30"/>
        <v/>
      </c>
      <c r="AM22" s="141" t="str">
        <f t="shared" si="30"/>
        <v/>
      </c>
      <c r="AN22" s="141" t="str">
        <f t="shared" si="30"/>
        <v/>
      </c>
      <c r="AO22" s="141" t="str">
        <f t="shared" si="30"/>
        <v/>
      </c>
      <c r="AP22" s="141" t="str">
        <f t="shared" si="30"/>
        <v/>
      </c>
      <c r="AQ22" s="141" t="str">
        <f t="shared" si="30"/>
        <v/>
      </c>
      <c r="AR22" s="141" t="str">
        <f t="shared" si="30"/>
        <v/>
      </c>
      <c r="AS22" s="141" t="str">
        <f t="shared" si="30"/>
        <v/>
      </c>
      <c r="AT22" s="141" t="str">
        <f t="shared" si="30"/>
        <v/>
      </c>
      <c r="AU22" s="141" t="str">
        <f t="shared" si="30"/>
        <v/>
      </c>
      <c r="AV22" s="141" t="str">
        <f t="shared" si="31"/>
        <v/>
      </c>
      <c r="AW22" s="141" t="str">
        <f t="shared" si="31"/>
        <v/>
      </c>
      <c r="AX22" s="141" t="str">
        <f t="shared" si="31"/>
        <v/>
      </c>
      <c r="AY22" s="141" t="str">
        <f t="shared" si="31"/>
        <v/>
      </c>
      <c r="AZ22" s="141" t="str">
        <f t="shared" si="31"/>
        <v/>
      </c>
      <c r="BA22" s="141" t="str">
        <f t="shared" si="31"/>
        <v/>
      </c>
      <c r="BB22" s="141" t="str">
        <f t="shared" si="31"/>
        <v/>
      </c>
      <c r="BC22" s="141" t="str">
        <f t="shared" si="31"/>
        <v/>
      </c>
      <c r="BD22" s="141" t="str">
        <f t="shared" si="31"/>
        <v/>
      </c>
      <c r="BE22" s="141" t="str">
        <f t="shared" si="31"/>
        <v/>
      </c>
      <c r="BF22" s="141" t="str">
        <f t="shared" si="32"/>
        <v/>
      </c>
      <c r="BG22" s="141" t="str">
        <f t="shared" si="32"/>
        <v/>
      </c>
      <c r="BH22" s="141" t="str">
        <f t="shared" si="32"/>
        <v/>
      </c>
      <c r="BI22" s="141" t="str">
        <f t="shared" si="32"/>
        <v/>
      </c>
      <c r="BJ22" s="256" t="str">
        <f t="shared" si="32"/>
        <v/>
      </c>
      <c r="BK22" s="256" t="str">
        <f t="shared" si="32"/>
        <v/>
      </c>
      <c r="BL22" s="256" t="str">
        <f t="shared" ref="BL22:DW25" si="37">IF(AND($C22="Goal",BL$8&gt;=$E22,BL$8&lt;=$E22+$F22-1),2,IF(AND($C22="Milestone",BL$8&gt;=$E22,BL$8&lt;=$E22+$F22-1),1,""))</f>
        <v/>
      </c>
      <c r="BM22" s="256" t="str">
        <f t="shared" si="37"/>
        <v/>
      </c>
      <c r="BN22" s="256" t="str">
        <f t="shared" si="37"/>
        <v/>
      </c>
      <c r="BO22" s="256" t="str">
        <f t="shared" si="37"/>
        <v/>
      </c>
      <c r="BP22" s="256" t="str">
        <f t="shared" si="37"/>
        <v/>
      </c>
      <c r="BQ22" s="256" t="str">
        <f t="shared" si="37"/>
        <v/>
      </c>
      <c r="BR22" s="256" t="str">
        <f t="shared" si="37"/>
        <v/>
      </c>
      <c r="BS22" s="256" t="str">
        <f t="shared" si="37"/>
        <v/>
      </c>
      <c r="BT22" s="256" t="str">
        <f t="shared" si="37"/>
        <v/>
      </c>
      <c r="BU22" s="256" t="str">
        <f t="shared" si="37"/>
        <v/>
      </c>
      <c r="BV22" s="256" t="str">
        <f t="shared" si="37"/>
        <v/>
      </c>
      <c r="BW22" s="256" t="str">
        <f t="shared" si="37"/>
        <v/>
      </c>
      <c r="BX22" s="256" t="str">
        <f t="shared" si="37"/>
        <v/>
      </c>
      <c r="BY22" s="256" t="str">
        <f t="shared" si="37"/>
        <v/>
      </c>
      <c r="BZ22" s="256" t="str">
        <f t="shared" si="37"/>
        <v/>
      </c>
      <c r="CA22" s="256" t="str">
        <f t="shared" si="37"/>
        <v/>
      </c>
      <c r="CB22" s="256" t="str">
        <f t="shared" si="37"/>
        <v/>
      </c>
      <c r="CC22" s="256" t="str">
        <f t="shared" si="37"/>
        <v/>
      </c>
      <c r="CD22" s="256" t="str">
        <f t="shared" si="37"/>
        <v/>
      </c>
      <c r="CE22" s="256" t="str">
        <f t="shared" si="37"/>
        <v/>
      </c>
      <c r="CF22" s="256" t="str">
        <f t="shared" si="37"/>
        <v/>
      </c>
      <c r="CG22" s="256" t="str">
        <f t="shared" si="37"/>
        <v/>
      </c>
      <c r="CH22" s="256" t="str">
        <f t="shared" si="37"/>
        <v/>
      </c>
      <c r="CI22" s="256" t="str">
        <f t="shared" si="37"/>
        <v/>
      </c>
      <c r="CJ22" s="256" t="str">
        <f t="shared" si="37"/>
        <v/>
      </c>
      <c r="CK22" s="256" t="str">
        <f t="shared" si="37"/>
        <v/>
      </c>
      <c r="CL22" s="256" t="str">
        <f t="shared" si="37"/>
        <v/>
      </c>
      <c r="CM22" s="256" t="str">
        <f t="shared" si="37"/>
        <v/>
      </c>
      <c r="CN22" s="256" t="str">
        <f t="shared" si="37"/>
        <v/>
      </c>
      <c r="CO22" s="256" t="str">
        <f t="shared" si="37"/>
        <v/>
      </c>
      <c r="CP22" s="256" t="str">
        <f t="shared" si="37"/>
        <v/>
      </c>
      <c r="CQ22" s="256" t="str">
        <f t="shared" si="37"/>
        <v/>
      </c>
      <c r="CR22" s="256" t="str">
        <f t="shared" si="37"/>
        <v/>
      </c>
      <c r="CS22" s="256" t="str">
        <f t="shared" si="37"/>
        <v/>
      </c>
      <c r="CT22" s="256" t="str">
        <f t="shared" si="37"/>
        <v/>
      </c>
      <c r="CU22" s="256" t="str">
        <f t="shared" si="37"/>
        <v/>
      </c>
      <c r="CV22" s="256" t="str">
        <f t="shared" si="37"/>
        <v/>
      </c>
      <c r="CW22" s="256" t="str">
        <f t="shared" si="37"/>
        <v/>
      </c>
      <c r="CX22" s="256" t="str">
        <f t="shared" si="37"/>
        <v/>
      </c>
      <c r="CY22" s="256" t="str">
        <f t="shared" si="37"/>
        <v/>
      </c>
      <c r="CZ22" s="256" t="str">
        <f t="shared" si="37"/>
        <v/>
      </c>
      <c r="DA22" s="256" t="str">
        <f t="shared" si="37"/>
        <v/>
      </c>
      <c r="DB22" s="256" t="str">
        <f t="shared" si="37"/>
        <v/>
      </c>
      <c r="DC22" s="256" t="str">
        <f t="shared" si="37"/>
        <v/>
      </c>
      <c r="DD22" s="256" t="str">
        <f t="shared" si="37"/>
        <v/>
      </c>
      <c r="DE22" s="256" t="str">
        <f t="shared" si="37"/>
        <v/>
      </c>
      <c r="DF22" s="256" t="str">
        <f t="shared" si="37"/>
        <v/>
      </c>
      <c r="DG22" s="256" t="str">
        <f t="shared" si="37"/>
        <v/>
      </c>
      <c r="DH22" s="256" t="str">
        <f t="shared" si="37"/>
        <v/>
      </c>
      <c r="DI22" s="256" t="str">
        <f t="shared" si="37"/>
        <v/>
      </c>
      <c r="DJ22" s="256" t="str">
        <f t="shared" si="37"/>
        <v/>
      </c>
      <c r="DK22" s="256" t="str">
        <f t="shared" si="37"/>
        <v/>
      </c>
      <c r="DL22" s="256" t="str">
        <f t="shared" si="37"/>
        <v/>
      </c>
      <c r="DM22" s="256" t="str">
        <f t="shared" si="37"/>
        <v/>
      </c>
      <c r="DN22" s="256" t="str">
        <f t="shared" si="37"/>
        <v/>
      </c>
      <c r="DO22" s="256" t="str">
        <f t="shared" si="37"/>
        <v/>
      </c>
      <c r="DP22" s="256" t="str">
        <f t="shared" si="37"/>
        <v/>
      </c>
      <c r="DQ22" s="256" t="str">
        <f t="shared" si="37"/>
        <v/>
      </c>
      <c r="DR22" s="256" t="str">
        <f t="shared" si="37"/>
        <v/>
      </c>
      <c r="DS22" s="256" t="str">
        <f t="shared" si="37"/>
        <v/>
      </c>
      <c r="DT22" s="256" t="str">
        <f t="shared" si="37"/>
        <v/>
      </c>
      <c r="DU22" s="256" t="str">
        <f t="shared" si="37"/>
        <v/>
      </c>
      <c r="DV22" s="256" t="str">
        <f t="shared" si="37"/>
        <v/>
      </c>
      <c r="DW22" s="256" t="str">
        <f t="shared" si="37"/>
        <v/>
      </c>
      <c r="DX22" s="256" t="str">
        <f t="shared" si="33"/>
        <v/>
      </c>
      <c r="DY22" s="256" t="str">
        <f t="shared" si="33"/>
        <v/>
      </c>
      <c r="DZ22" s="256" t="str">
        <f t="shared" si="33"/>
        <v/>
      </c>
      <c r="EA22" s="256" t="str">
        <f t="shared" si="33"/>
        <v/>
      </c>
      <c r="EB22" s="256" t="str">
        <f t="shared" si="33"/>
        <v/>
      </c>
      <c r="EC22" s="256" t="str">
        <f t="shared" si="33"/>
        <v/>
      </c>
      <c r="ED22" s="256" t="str">
        <f t="shared" si="33"/>
        <v/>
      </c>
      <c r="EE22" s="256" t="str">
        <f t="shared" si="33"/>
        <v/>
      </c>
      <c r="EF22" s="256" t="str">
        <f t="shared" si="33"/>
        <v/>
      </c>
      <c r="EG22" s="256" t="str">
        <f t="shared" si="33"/>
        <v/>
      </c>
      <c r="EH22" s="256" t="str">
        <f t="shared" si="34"/>
        <v/>
      </c>
      <c r="EI22" s="256" t="str">
        <f t="shared" si="34"/>
        <v/>
      </c>
      <c r="EJ22" s="256" t="str">
        <f t="shared" si="34"/>
        <v/>
      </c>
      <c r="EK22" s="256" t="str">
        <f t="shared" si="34"/>
        <v/>
      </c>
      <c r="EL22" s="256" t="str">
        <f t="shared" si="34"/>
        <v/>
      </c>
      <c r="EM22" s="256" t="str">
        <f t="shared" si="34"/>
        <v/>
      </c>
      <c r="EN22" s="256" t="str">
        <f t="shared" si="34"/>
        <v/>
      </c>
      <c r="EO22" s="256" t="str">
        <f t="shared" si="34"/>
        <v/>
      </c>
      <c r="EP22" s="256" t="str">
        <f t="shared" si="34"/>
        <v/>
      </c>
      <c r="EQ22" s="256" t="str">
        <f t="shared" si="34"/>
        <v/>
      </c>
      <c r="ER22" s="256" t="str">
        <f t="shared" si="34"/>
        <v/>
      </c>
      <c r="ES22" s="256" t="str">
        <f t="shared" si="34"/>
        <v/>
      </c>
      <c r="ET22" s="256" t="str">
        <f t="shared" si="34"/>
        <v/>
      </c>
      <c r="EU22" s="256" t="str">
        <f t="shared" si="34"/>
        <v/>
      </c>
      <c r="EV22" s="256" t="str">
        <f t="shared" si="34"/>
        <v/>
      </c>
      <c r="EW22" s="256" t="str">
        <f t="shared" si="34"/>
        <v/>
      </c>
      <c r="EX22" s="256" t="str">
        <f t="shared" si="34"/>
        <v/>
      </c>
      <c r="EY22" s="256" t="str">
        <f t="shared" si="34"/>
        <v/>
      </c>
      <c r="EZ22" s="256" t="str">
        <f t="shared" si="34"/>
        <v/>
      </c>
      <c r="FA22" s="256" t="str">
        <f t="shared" si="34"/>
        <v/>
      </c>
      <c r="FB22" s="256" t="str">
        <f t="shared" si="35"/>
        <v/>
      </c>
      <c r="FC22" s="256" t="str">
        <f t="shared" si="35"/>
        <v/>
      </c>
      <c r="FD22" s="256" t="str">
        <f t="shared" si="34"/>
        <v/>
      </c>
      <c r="FE22" s="256" t="str">
        <f t="shared" si="34"/>
        <v/>
      </c>
      <c r="FF22" s="256" t="str">
        <f t="shared" si="34"/>
        <v/>
      </c>
      <c r="FG22" s="256" t="str">
        <f t="shared" si="34"/>
        <v/>
      </c>
      <c r="FH22" s="256" t="str">
        <f t="shared" si="34"/>
        <v/>
      </c>
      <c r="FI22" s="256" t="str">
        <f t="shared" si="34"/>
        <v/>
      </c>
      <c r="FJ22" s="256" t="str">
        <f t="shared" si="34"/>
        <v/>
      </c>
      <c r="FK22" s="256" t="str">
        <f t="shared" si="34"/>
        <v/>
      </c>
      <c r="FL22" s="256" t="str">
        <f t="shared" si="34"/>
        <v/>
      </c>
      <c r="FM22" s="256" t="str">
        <f t="shared" si="34"/>
        <v/>
      </c>
      <c r="FN22" s="256" t="str">
        <f t="shared" si="34"/>
        <v/>
      </c>
      <c r="FO22" s="256" t="str">
        <f t="shared" si="34"/>
        <v/>
      </c>
      <c r="FP22" s="256" t="str">
        <f t="shared" si="34"/>
        <v/>
      </c>
      <c r="FQ22" s="256" t="str">
        <f t="shared" si="34"/>
        <v/>
      </c>
      <c r="FR22" s="256" t="str">
        <f t="shared" si="34"/>
        <v/>
      </c>
      <c r="FS22" s="256" t="str">
        <f t="shared" si="34"/>
        <v/>
      </c>
      <c r="FT22" s="256" t="str">
        <f t="shared" si="34"/>
        <v/>
      </c>
      <c r="FU22" s="256" t="str">
        <f t="shared" si="34"/>
        <v/>
      </c>
      <c r="FV22" s="256" t="str">
        <f t="shared" si="34"/>
        <v/>
      </c>
      <c r="FW22" s="256" t="str">
        <f t="shared" si="34"/>
        <v/>
      </c>
      <c r="FX22" s="256" t="str">
        <f t="shared" si="34"/>
        <v/>
      </c>
      <c r="FY22" s="256" t="str">
        <f t="shared" si="34"/>
        <v/>
      </c>
      <c r="FZ22" s="256" t="str">
        <f t="shared" si="34"/>
        <v/>
      </c>
      <c r="GA22" s="256" t="str">
        <f t="shared" si="34"/>
        <v/>
      </c>
      <c r="GB22" s="256" t="str">
        <f t="shared" si="34"/>
        <v/>
      </c>
      <c r="GC22" s="256" t="str">
        <f t="shared" si="34"/>
        <v/>
      </c>
      <c r="GD22" s="256" t="str">
        <f t="shared" si="34"/>
        <v/>
      </c>
      <c r="GE22" s="256" t="str">
        <f t="shared" si="34"/>
        <v/>
      </c>
      <c r="GF22" s="256" t="str">
        <f t="shared" si="34"/>
        <v/>
      </c>
      <c r="GG22" s="256" t="str">
        <f t="shared" si="34"/>
        <v/>
      </c>
      <c r="GH22" s="256" t="str">
        <f t="shared" si="34"/>
        <v/>
      </c>
      <c r="GI22" s="256" t="str">
        <f t="shared" si="34"/>
        <v/>
      </c>
      <c r="GJ22" s="256" t="str">
        <f t="shared" si="34"/>
        <v/>
      </c>
      <c r="GK22" s="256" t="str">
        <f t="shared" si="34"/>
        <v/>
      </c>
      <c r="GL22" s="256" t="str">
        <f t="shared" si="34"/>
        <v/>
      </c>
      <c r="GM22" s="256" t="str">
        <f t="shared" si="34"/>
        <v/>
      </c>
      <c r="GN22" s="256" t="str">
        <f t="shared" si="34"/>
        <v/>
      </c>
      <c r="GO22" s="256" t="str">
        <f t="shared" si="34"/>
        <v/>
      </c>
      <c r="GP22" s="256" t="str">
        <f t="shared" si="34"/>
        <v/>
      </c>
      <c r="GQ22" s="256" t="str">
        <f t="shared" si="34"/>
        <v/>
      </c>
      <c r="GR22" s="256" t="str">
        <f t="shared" si="34"/>
        <v/>
      </c>
      <c r="GS22" s="256" t="str">
        <f t="shared" si="34"/>
        <v/>
      </c>
      <c r="GT22" s="256" t="str">
        <f t="shared" si="36"/>
        <v/>
      </c>
      <c r="GU22" s="256" t="str">
        <f t="shared" si="36"/>
        <v/>
      </c>
      <c r="GV22" s="256" t="str">
        <f t="shared" si="36"/>
        <v/>
      </c>
      <c r="GW22" s="256" t="str">
        <f t="shared" si="36"/>
        <v/>
      </c>
      <c r="GX22" s="256" t="str">
        <f t="shared" si="36"/>
        <v/>
      </c>
      <c r="GY22" s="256" t="str">
        <f t="shared" si="36"/>
        <v/>
      </c>
      <c r="GZ22" s="256" t="str">
        <f t="shared" si="36"/>
        <v/>
      </c>
      <c r="HA22" s="256" t="str">
        <f t="shared" si="36"/>
        <v/>
      </c>
      <c r="HB22" s="256" t="str">
        <f t="shared" si="36"/>
        <v/>
      </c>
      <c r="HC22" s="256" t="str">
        <f t="shared" si="36"/>
        <v/>
      </c>
      <c r="HD22" s="256" t="str">
        <f t="shared" si="36"/>
        <v/>
      </c>
      <c r="HE22" s="256" t="str">
        <f t="shared" si="36"/>
        <v/>
      </c>
      <c r="HF22" s="256" t="str">
        <f t="shared" ref="HF22:HJ23" si="38">IF(AND($C22="Goal",HF$8&gt;=$E22,HF$8&lt;=$E22+$F22-1),2,IF(AND($C22="Milestone",HF$8&gt;=$E22,HF$8&lt;=$E22+$F22-1),1,""))</f>
        <v/>
      </c>
      <c r="HG22" s="256" t="str">
        <f t="shared" si="38"/>
        <v/>
      </c>
      <c r="HH22" s="256" t="str">
        <f t="shared" si="38"/>
        <v/>
      </c>
      <c r="HI22" s="256" t="str">
        <f t="shared" si="38"/>
        <v/>
      </c>
      <c r="HJ22" s="256" t="str">
        <f t="shared" si="38"/>
        <v/>
      </c>
    </row>
    <row r="23" spans="1:218" s="134" customFormat="1" ht="40.200000000000003" customHeight="1">
      <c r="A23" s="90"/>
      <c r="B23" s="182" t="s">
        <v>437</v>
      </c>
      <c r="C23" s="136" t="s">
        <v>432</v>
      </c>
      <c r="D23" s="144"/>
      <c r="E23" s="143">
        <f>E14</f>
        <v>45968</v>
      </c>
      <c r="F23" s="142">
        <v>19</v>
      </c>
      <c r="G23" s="136"/>
      <c r="H23" s="141" t="str">
        <f t="shared" si="27"/>
        <v/>
      </c>
      <c r="I23" s="141" t="str">
        <f t="shared" si="27"/>
        <v/>
      </c>
      <c r="J23" s="141" t="str">
        <f t="shared" si="27"/>
        <v/>
      </c>
      <c r="K23" s="256" t="str">
        <f t="shared" si="27"/>
        <v/>
      </c>
      <c r="L23" s="256" t="str">
        <f t="shared" si="27"/>
        <v/>
      </c>
      <c r="M23" s="141" t="str">
        <f t="shared" si="27"/>
        <v/>
      </c>
      <c r="N23" s="141" t="str">
        <f t="shared" si="27"/>
        <v/>
      </c>
      <c r="O23" s="141" t="str">
        <f t="shared" si="27"/>
        <v/>
      </c>
      <c r="P23" s="141" t="str">
        <f t="shared" si="27"/>
        <v/>
      </c>
      <c r="Q23" s="141" t="str">
        <f t="shared" si="27"/>
        <v/>
      </c>
      <c r="R23" s="141" t="str">
        <f t="shared" si="28"/>
        <v/>
      </c>
      <c r="S23" s="141" t="str">
        <f t="shared" si="28"/>
        <v/>
      </c>
      <c r="T23" s="141" t="str">
        <f t="shared" si="28"/>
        <v/>
      </c>
      <c r="U23" s="141" t="str">
        <f t="shared" si="28"/>
        <v/>
      </c>
      <c r="V23" s="141" t="str">
        <f t="shared" si="28"/>
        <v/>
      </c>
      <c r="W23" s="141" t="str">
        <f t="shared" si="28"/>
        <v/>
      </c>
      <c r="X23" s="141" t="str">
        <f t="shared" si="28"/>
        <v/>
      </c>
      <c r="Y23" s="141" t="str">
        <f t="shared" si="28"/>
        <v/>
      </c>
      <c r="Z23" s="141" t="str">
        <f t="shared" si="28"/>
        <v/>
      </c>
      <c r="AA23" s="141" t="str">
        <f t="shared" si="28"/>
        <v/>
      </c>
      <c r="AB23" s="141" t="str">
        <f t="shared" si="29"/>
        <v/>
      </c>
      <c r="AC23" s="141" t="str">
        <f t="shared" si="29"/>
        <v/>
      </c>
      <c r="AD23" s="141" t="str">
        <f t="shared" si="29"/>
        <v/>
      </c>
      <c r="AE23" s="141" t="str">
        <f t="shared" si="29"/>
        <v/>
      </c>
      <c r="AF23" s="141" t="str">
        <f t="shared" si="29"/>
        <v/>
      </c>
      <c r="AG23" s="141" t="str">
        <f t="shared" si="29"/>
        <v/>
      </c>
      <c r="AH23" s="141" t="str">
        <f t="shared" si="29"/>
        <v/>
      </c>
      <c r="AI23" s="141" t="str">
        <f t="shared" si="29"/>
        <v/>
      </c>
      <c r="AJ23" s="141" t="str">
        <f t="shared" si="29"/>
        <v/>
      </c>
      <c r="AK23" s="141" t="str">
        <f t="shared" si="29"/>
        <v/>
      </c>
      <c r="AL23" s="141" t="str">
        <f t="shared" si="30"/>
        <v/>
      </c>
      <c r="AM23" s="141" t="str">
        <f t="shared" si="30"/>
        <v/>
      </c>
      <c r="AN23" s="141" t="str">
        <f t="shared" si="30"/>
        <v/>
      </c>
      <c r="AO23" s="141" t="str">
        <f t="shared" si="30"/>
        <v/>
      </c>
      <c r="AP23" s="141" t="str">
        <f t="shared" si="30"/>
        <v/>
      </c>
      <c r="AQ23" s="141" t="str">
        <f t="shared" si="30"/>
        <v/>
      </c>
      <c r="AR23" s="141" t="str">
        <f t="shared" si="30"/>
        <v/>
      </c>
      <c r="AS23" s="141" t="str">
        <f t="shared" si="30"/>
        <v/>
      </c>
      <c r="AT23" s="141" t="str">
        <f t="shared" si="30"/>
        <v/>
      </c>
      <c r="AU23" s="141" t="str">
        <f t="shared" si="30"/>
        <v/>
      </c>
      <c r="AV23" s="141" t="str">
        <f t="shared" si="31"/>
        <v/>
      </c>
      <c r="AW23" s="141" t="str">
        <f t="shared" si="31"/>
        <v/>
      </c>
      <c r="AX23" s="141" t="str">
        <f t="shared" si="31"/>
        <v/>
      </c>
      <c r="AY23" s="141" t="str">
        <f t="shared" si="31"/>
        <v/>
      </c>
      <c r="AZ23" s="141" t="str">
        <f t="shared" si="31"/>
        <v/>
      </c>
      <c r="BA23" s="141" t="str">
        <f t="shared" si="31"/>
        <v/>
      </c>
      <c r="BB23" s="141" t="str">
        <f t="shared" si="31"/>
        <v/>
      </c>
      <c r="BC23" s="141" t="str">
        <f t="shared" si="31"/>
        <v/>
      </c>
      <c r="BD23" s="141" t="str">
        <f t="shared" si="31"/>
        <v/>
      </c>
      <c r="BE23" s="141" t="str">
        <f t="shared" si="31"/>
        <v/>
      </c>
      <c r="BF23" s="141" t="str">
        <f t="shared" si="32"/>
        <v/>
      </c>
      <c r="BG23" s="141" t="str">
        <f t="shared" si="32"/>
        <v/>
      </c>
      <c r="BH23" s="141" t="str">
        <f t="shared" si="32"/>
        <v/>
      </c>
      <c r="BI23" s="141" t="str">
        <f t="shared" si="32"/>
        <v/>
      </c>
      <c r="BJ23" s="256" t="str">
        <f t="shared" si="32"/>
        <v/>
      </c>
      <c r="BK23" s="256" t="str">
        <f t="shared" si="32"/>
        <v/>
      </c>
      <c r="BL23" s="256" t="str">
        <f t="shared" si="37"/>
        <v/>
      </c>
      <c r="BM23" s="256" t="str">
        <f t="shared" si="37"/>
        <v/>
      </c>
      <c r="BN23" s="256" t="str">
        <f t="shared" si="37"/>
        <v/>
      </c>
      <c r="BO23" s="256" t="str">
        <f t="shared" si="37"/>
        <v/>
      </c>
      <c r="BP23" s="256" t="str">
        <f t="shared" si="37"/>
        <v/>
      </c>
      <c r="BQ23" s="256" t="str">
        <f t="shared" si="37"/>
        <v/>
      </c>
      <c r="BR23" s="256" t="str">
        <f t="shared" si="37"/>
        <v/>
      </c>
      <c r="BS23" s="256" t="str">
        <f t="shared" si="37"/>
        <v/>
      </c>
      <c r="BT23" s="256" t="str">
        <f t="shared" si="37"/>
        <v/>
      </c>
      <c r="BU23" s="256" t="str">
        <f t="shared" si="37"/>
        <v/>
      </c>
      <c r="BV23" s="256" t="str">
        <f t="shared" si="37"/>
        <v/>
      </c>
      <c r="BW23" s="256" t="str">
        <f t="shared" si="37"/>
        <v/>
      </c>
      <c r="BX23" s="256" t="str">
        <f t="shared" si="37"/>
        <v/>
      </c>
      <c r="BY23" s="256" t="str">
        <f t="shared" si="37"/>
        <v/>
      </c>
      <c r="BZ23" s="256" t="str">
        <f t="shared" si="37"/>
        <v/>
      </c>
      <c r="CA23" s="256" t="str">
        <f t="shared" si="37"/>
        <v/>
      </c>
      <c r="CB23" s="256" t="str">
        <f t="shared" si="37"/>
        <v/>
      </c>
      <c r="CC23" s="256" t="str">
        <f t="shared" si="37"/>
        <v/>
      </c>
      <c r="CD23" s="256" t="str">
        <f t="shared" si="37"/>
        <v/>
      </c>
      <c r="CE23" s="256" t="str">
        <f t="shared" si="37"/>
        <v/>
      </c>
      <c r="CF23" s="256" t="str">
        <f t="shared" si="37"/>
        <v/>
      </c>
      <c r="CG23" s="256" t="str">
        <f t="shared" si="37"/>
        <v/>
      </c>
      <c r="CH23" s="256" t="str">
        <f t="shared" si="37"/>
        <v/>
      </c>
      <c r="CI23" s="256" t="str">
        <f t="shared" si="37"/>
        <v/>
      </c>
      <c r="CJ23" s="256" t="str">
        <f t="shared" si="37"/>
        <v/>
      </c>
      <c r="CK23" s="256" t="str">
        <f t="shared" si="37"/>
        <v/>
      </c>
      <c r="CL23" s="256" t="str">
        <f t="shared" si="37"/>
        <v/>
      </c>
      <c r="CM23" s="256" t="str">
        <f t="shared" si="37"/>
        <v/>
      </c>
      <c r="CN23" s="256" t="str">
        <f t="shared" si="37"/>
        <v/>
      </c>
      <c r="CO23" s="256" t="str">
        <f t="shared" si="37"/>
        <v/>
      </c>
      <c r="CP23" s="256" t="str">
        <f t="shared" si="37"/>
        <v/>
      </c>
      <c r="CQ23" s="256" t="str">
        <f t="shared" si="37"/>
        <v/>
      </c>
      <c r="CR23" s="256" t="str">
        <f t="shared" si="37"/>
        <v/>
      </c>
      <c r="CS23" s="256" t="str">
        <f t="shared" si="37"/>
        <v/>
      </c>
      <c r="CT23" s="256" t="str">
        <f t="shared" si="37"/>
        <v/>
      </c>
      <c r="CU23" s="256" t="str">
        <f t="shared" si="37"/>
        <v/>
      </c>
      <c r="CV23" s="256" t="str">
        <f t="shared" si="37"/>
        <v/>
      </c>
      <c r="CW23" s="256" t="str">
        <f t="shared" si="37"/>
        <v/>
      </c>
      <c r="CX23" s="256" t="str">
        <f t="shared" si="37"/>
        <v/>
      </c>
      <c r="CY23" s="256" t="str">
        <f t="shared" si="37"/>
        <v/>
      </c>
      <c r="CZ23" s="256" t="str">
        <f t="shared" si="37"/>
        <v/>
      </c>
      <c r="DA23" s="256" t="str">
        <f t="shared" si="37"/>
        <v/>
      </c>
      <c r="DB23" s="256" t="str">
        <f t="shared" si="37"/>
        <v/>
      </c>
      <c r="DC23" s="256" t="str">
        <f t="shared" si="37"/>
        <v/>
      </c>
      <c r="DD23" s="256" t="str">
        <f t="shared" si="37"/>
        <v/>
      </c>
      <c r="DE23" s="256" t="str">
        <f t="shared" si="37"/>
        <v/>
      </c>
      <c r="DF23" s="256" t="str">
        <f t="shared" si="37"/>
        <v/>
      </c>
      <c r="DG23" s="256" t="str">
        <f t="shared" si="37"/>
        <v/>
      </c>
      <c r="DH23" s="256" t="str">
        <f t="shared" si="37"/>
        <v/>
      </c>
      <c r="DI23" s="256" t="str">
        <f t="shared" si="37"/>
        <v/>
      </c>
      <c r="DJ23" s="256" t="str">
        <f t="shared" si="37"/>
        <v/>
      </c>
      <c r="DK23" s="256" t="str">
        <f t="shared" si="37"/>
        <v/>
      </c>
      <c r="DL23" s="256" t="str">
        <f t="shared" si="37"/>
        <v/>
      </c>
      <c r="DM23" s="256" t="str">
        <f t="shared" si="37"/>
        <v/>
      </c>
      <c r="DN23" s="256" t="str">
        <f t="shared" si="37"/>
        <v/>
      </c>
      <c r="DO23" s="256" t="str">
        <f t="shared" si="37"/>
        <v/>
      </c>
      <c r="DP23" s="256" t="str">
        <f t="shared" si="37"/>
        <v/>
      </c>
      <c r="DQ23" s="256" t="str">
        <f t="shared" si="37"/>
        <v/>
      </c>
      <c r="DR23" s="256" t="str">
        <f t="shared" si="37"/>
        <v/>
      </c>
      <c r="DS23" s="256" t="str">
        <f t="shared" si="37"/>
        <v/>
      </c>
      <c r="DT23" s="256" t="str">
        <f t="shared" si="37"/>
        <v/>
      </c>
      <c r="DU23" s="256" t="str">
        <f t="shared" si="37"/>
        <v/>
      </c>
      <c r="DV23" s="256" t="str">
        <f t="shared" si="37"/>
        <v/>
      </c>
      <c r="DW23" s="256" t="str">
        <f t="shared" si="37"/>
        <v/>
      </c>
      <c r="DX23" s="256" t="str">
        <f t="shared" si="33"/>
        <v/>
      </c>
      <c r="DY23" s="256" t="str">
        <f t="shared" si="33"/>
        <v/>
      </c>
      <c r="DZ23" s="256" t="str">
        <f t="shared" si="33"/>
        <v/>
      </c>
      <c r="EA23" s="256" t="str">
        <f t="shared" si="33"/>
        <v/>
      </c>
      <c r="EB23" s="256" t="str">
        <f t="shared" si="33"/>
        <v/>
      </c>
      <c r="EC23" s="256" t="str">
        <f t="shared" si="33"/>
        <v/>
      </c>
      <c r="ED23" s="256" t="str">
        <f t="shared" si="33"/>
        <v/>
      </c>
      <c r="EE23" s="256" t="str">
        <f t="shared" si="33"/>
        <v/>
      </c>
      <c r="EF23" s="256" t="str">
        <f t="shared" si="33"/>
        <v/>
      </c>
      <c r="EG23" s="256" t="str">
        <f t="shared" si="33"/>
        <v/>
      </c>
      <c r="EH23" s="256" t="str">
        <f t="shared" si="34"/>
        <v/>
      </c>
      <c r="EI23" s="256" t="str">
        <f t="shared" si="34"/>
        <v/>
      </c>
      <c r="EJ23" s="256" t="str">
        <f t="shared" si="34"/>
        <v/>
      </c>
      <c r="EK23" s="256" t="str">
        <f t="shared" si="34"/>
        <v/>
      </c>
      <c r="EL23" s="256" t="str">
        <f t="shared" si="34"/>
        <v/>
      </c>
      <c r="EM23" s="256" t="str">
        <f t="shared" si="34"/>
        <v/>
      </c>
      <c r="EN23" s="256" t="str">
        <f t="shared" si="34"/>
        <v/>
      </c>
      <c r="EO23" s="256" t="str">
        <f t="shared" si="34"/>
        <v/>
      </c>
      <c r="EP23" s="256" t="str">
        <f t="shared" si="34"/>
        <v/>
      </c>
      <c r="EQ23" s="256" t="str">
        <f t="shared" si="34"/>
        <v/>
      </c>
      <c r="ER23" s="256" t="str">
        <f t="shared" si="34"/>
        <v/>
      </c>
      <c r="ES23" s="256" t="str">
        <f t="shared" si="34"/>
        <v/>
      </c>
      <c r="ET23" s="256" t="str">
        <f t="shared" si="34"/>
        <v/>
      </c>
      <c r="EU23" s="256" t="str">
        <f t="shared" si="34"/>
        <v/>
      </c>
      <c r="EV23" s="256" t="str">
        <f t="shared" si="34"/>
        <v/>
      </c>
      <c r="EW23" s="256" t="str">
        <f t="shared" si="34"/>
        <v/>
      </c>
      <c r="EX23" s="256" t="str">
        <f t="shared" si="34"/>
        <v/>
      </c>
      <c r="EY23" s="256" t="str">
        <f t="shared" si="34"/>
        <v/>
      </c>
      <c r="EZ23" s="256" t="str">
        <f t="shared" si="34"/>
        <v/>
      </c>
      <c r="FA23" s="256" t="str">
        <f t="shared" si="34"/>
        <v/>
      </c>
      <c r="FB23" s="256" t="str">
        <f t="shared" si="35"/>
        <v/>
      </c>
      <c r="FC23" s="256" t="str">
        <f t="shared" si="35"/>
        <v/>
      </c>
      <c r="FD23" s="256" t="str">
        <f t="shared" si="34"/>
        <v/>
      </c>
      <c r="FE23" s="256" t="str">
        <f t="shared" si="34"/>
        <v/>
      </c>
      <c r="FF23" s="256" t="str">
        <f t="shared" si="34"/>
        <v/>
      </c>
      <c r="FG23" s="256" t="str">
        <f t="shared" si="34"/>
        <v/>
      </c>
      <c r="FH23" s="256" t="str">
        <f t="shared" si="34"/>
        <v/>
      </c>
      <c r="FI23" s="256" t="str">
        <f t="shared" si="34"/>
        <v/>
      </c>
      <c r="FJ23" s="256" t="str">
        <f t="shared" si="34"/>
        <v/>
      </c>
      <c r="FK23" s="256" t="str">
        <f t="shared" si="34"/>
        <v/>
      </c>
      <c r="FL23" s="256" t="str">
        <f t="shared" si="34"/>
        <v/>
      </c>
      <c r="FM23" s="256" t="str">
        <f t="shared" si="34"/>
        <v/>
      </c>
      <c r="FN23" s="256" t="str">
        <f t="shared" si="34"/>
        <v/>
      </c>
      <c r="FO23" s="256" t="str">
        <f t="shared" si="34"/>
        <v/>
      </c>
      <c r="FP23" s="256" t="str">
        <f t="shared" si="34"/>
        <v/>
      </c>
      <c r="FQ23" s="256" t="str">
        <f t="shared" si="34"/>
        <v/>
      </c>
      <c r="FR23" s="256" t="str">
        <f t="shared" si="34"/>
        <v/>
      </c>
      <c r="FS23" s="256" t="str">
        <f t="shared" si="34"/>
        <v/>
      </c>
      <c r="FT23" s="256" t="str">
        <f t="shared" si="34"/>
        <v/>
      </c>
      <c r="FU23" s="256" t="str">
        <f t="shared" si="34"/>
        <v/>
      </c>
      <c r="FV23" s="256" t="str">
        <f t="shared" si="34"/>
        <v/>
      </c>
      <c r="FW23" s="256" t="str">
        <f t="shared" si="34"/>
        <v/>
      </c>
      <c r="FX23" s="256" t="str">
        <f t="shared" si="34"/>
        <v/>
      </c>
      <c r="FY23" s="256" t="str">
        <f t="shared" si="34"/>
        <v/>
      </c>
      <c r="FZ23" s="256" t="str">
        <f t="shared" si="34"/>
        <v/>
      </c>
      <c r="GA23" s="256" t="str">
        <f t="shared" si="34"/>
        <v/>
      </c>
      <c r="GB23" s="256" t="str">
        <f t="shared" si="34"/>
        <v/>
      </c>
      <c r="GC23" s="256" t="str">
        <f t="shared" si="34"/>
        <v/>
      </c>
      <c r="GD23" s="256" t="str">
        <f t="shared" si="34"/>
        <v/>
      </c>
      <c r="GE23" s="256" t="str">
        <f t="shared" si="34"/>
        <v/>
      </c>
      <c r="GF23" s="256" t="str">
        <f t="shared" si="34"/>
        <v/>
      </c>
      <c r="GG23" s="256" t="str">
        <f t="shared" si="34"/>
        <v/>
      </c>
      <c r="GH23" s="256" t="str">
        <f t="shared" si="34"/>
        <v/>
      </c>
      <c r="GI23" s="256" t="str">
        <f t="shared" si="34"/>
        <v/>
      </c>
      <c r="GJ23" s="256" t="str">
        <f t="shared" si="34"/>
        <v/>
      </c>
      <c r="GK23" s="256" t="str">
        <f t="shared" si="34"/>
        <v/>
      </c>
      <c r="GL23" s="256" t="str">
        <f t="shared" si="34"/>
        <v/>
      </c>
      <c r="GM23" s="256" t="str">
        <f t="shared" si="34"/>
        <v/>
      </c>
      <c r="GN23" s="256" t="str">
        <f t="shared" si="34"/>
        <v/>
      </c>
      <c r="GO23" s="256" t="str">
        <f t="shared" si="34"/>
        <v/>
      </c>
      <c r="GP23" s="256" t="str">
        <f t="shared" si="34"/>
        <v/>
      </c>
      <c r="GQ23" s="256" t="str">
        <f t="shared" si="34"/>
        <v/>
      </c>
      <c r="GR23" s="256" t="str">
        <f t="shared" si="34"/>
        <v/>
      </c>
      <c r="GS23" s="256" t="str">
        <f t="shared" si="34"/>
        <v/>
      </c>
      <c r="GT23" s="256" t="str">
        <f t="shared" si="36"/>
        <v/>
      </c>
      <c r="GU23" s="256" t="str">
        <f t="shared" si="36"/>
        <v/>
      </c>
      <c r="GV23" s="256" t="str">
        <f t="shared" si="36"/>
        <v/>
      </c>
      <c r="GW23" s="256" t="str">
        <f t="shared" si="36"/>
        <v/>
      </c>
      <c r="GX23" s="256" t="str">
        <f t="shared" si="36"/>
        <v/>
      </c>
      <c r="GY23" s="256" t="str">
        <f t="shared" si="36"/>
        <v/>
      </c>
      <c r="GZ23" s="256" t="str">
        <f t="shared" si="36"/>
        <v/>
      </c>
      <c r="HA23" s="256" t="str">
        <f t="shared" si="36"/>
        <v/>
      </c>
      <c r="HB23" s="256" t="str">
        <f t="shared" si="36"/>
        <v/>
      </c>
      <c r="HC23" s="256" t="str">
        <f t="shared" si="36"/>
        <v/>
      </c>
      <c r="HD23" s="256" t="str">
        <f t="shared" si="36"/>
        <v/>
      </c>
      <c r="HE23" s="256" t="str">
        <f t="shared" si="36"/>
        <v/>
      </c>
      <c r="HF23" s="256" t="str">
        <f t="shared" si="38"/>
        <v/>
      </c>
      <c r="HG23" s="256" t="str">
        <f t="shared" si="38"/>
        <v/>
      </c>
      <c r="HH23" s="256" t="str">
        <f t="shared" si="38"/>
        <v/>
      </c>
      <c r="HI23" s="256" t="str">
        <f t="shared" si="38"/>
        <v/>
      </c>
      <c r="HJ23" s="256" t="str">
        <f t="shared" si="38"/>
        <v/>
      </c>
    </row>
    <row r="24" spans="1:218" s="134" customFormat="1" ht="40.200000000000003" customHeight="1">
      <c r="A24" s="90"/>
      <c r="B24" s="145" t="s">
        <v>439</v>
      </c>
      <c r="C24" s="136" t="s">
        <v>432</v>
      </c>
      <c r="D24" s="144"/>
      <c r="E24" s="143"/>
      <c r="F24" s="142"/>
      <c r="G24" s="136"/>
      <c r="H24" s="141" t="str">
        <f t="shared" si="27"/>
        <v/>
      </c>
      <c r="I24" s="141" t="str">
        <f t="shared" si="27"/>
        <v/>
      </c>
      <c r="J24" s="141" t="str">
        <f t="shared" si="27"/>
        <v/>
      </c>
      <c r="K24" s="256" t="str">
        <f t="shared" si="27"/>
        <v/>
      </c>
      <c r="L24" s="256" t="str">
        <f t="shared" si="27"/>
        <v/>
      </c>
      <c r="M24" s="141" t="str">
        <f t="shared" si="27"/>
        <v/>
      </c>
      <c r="N24" s="141" t="str">
        <f t="shared" si="27"/>
        <v/>
      </c>
      <c r="O24" s="141" t="str">
        <f t="shared" si="27"/>
        <v/>
      </c>
      <c r="P24" s="141" t="str">
        <f t="shared" si="27"/>
        <v/>
      </c>
      <c r="Q24" s="141" t="str">
        <f t="shared" si="27"/>
        <v/>
      </c>
      <c r="R24" s="141" t="str">
        <f t="shared" si="28"/>
        <v/>
      </c>
      <c r="S24" s="141" t="str">
        <f t="shared" si="28"/>
        <v/>
      </c>
      <c r="T24" s="141" t="str">
        <f t="shared" si="28"/>
        <v/>
      </c>
      <c r="U24" s="141" t="str">
        <f t="shared" si="28"/>
        <v/>
      </c>
      <c r="V24" s="141" t="str">
        <f t="shared" si="28"/>
        <v/>
      </c>
      <c r="W24" s="141" t="str">
        <f t="shared" si="28"/>
        <v/>
      </c>
      <c r="X24" s="141" t="str">
        <f t="shared" si="28"/>
        <v/>
      </c>
      <c r="Y24" s="141" t="str">
        <f t="shared" si="28"/>
        <v/>
      </c>
      <c r="Z24" s="141" t="str">
        <f t="shared" si="28"/>
        <v/>
      </c>
      <c r="AA24" s="141" t="str">
        <f t="shared" si="28"/>
        <v/>
      </c>
      <c r="AB24" s="141" t="str">
        <f t="shared" si="29"/>
        <v/>
      </c>
      <c r="AC24" s="141" t="str">
        <f t="shared" si="29"/>
        <v/>
      </c>
      <c r="AD24" s="141" t="str">
        <f t="shared" si="29"/>
        <v/>
      </c>
      <c r="AE24" s="141" t="str">
        <f t="shared" si="29"/>
        <v/>
      </c>
      <c r="AF24" s="141" t="str">
        <f t="shared" si="29"/>
        <v/>
      </c>
      <c r="AG24" s="141" t="str">
        <f t="shared" si="29"/>
        <v/>
      </c>
      <c r="AH24" s="141" t="str">
        <f t="shared" si="29"/>
        <v/>
      </c>
      <c r="AI24" s="141" t="str">
        <f t="shared" si="29"/>
        <v/>
      </c>
      <c r="AJ24" s="141" t="str">
        <f t="shared" si="29"/>
        <v/>
      </c>
      <c r="AK24" s="141" t="str">
        <f t="shared" si="29"/>
        <v/>
      </c>
      <c r="AL24" s="141" t="str">
        <f t="shared" si="30"/>
        <v/>
      </c>
      <c r="AM24" s="141" t="str">
        <f t="shared" si="30"/>
        <v/>
      </c>
      <c r="AN24" s="141" t="str">
        <f t="shared" si="30"/>
        <v/>
      </c>
      <c r="AO24" s="141" t="str">
        <f t="shared" si="30"/>
        <v/>
      </c>
      <c r="AP24" s="141" t="str">
        <f t="shared" si="30"/>
        <v/>
      </c>
      <c r="AQ24" s="141" t="str">
        <f t="shared" si="30"/>
        <v/>
      </c>
      <c r="AR24" s="141" t="str">
        <f t="shared" si="30"/>
        <v/>
      </c>
      <c r="AS24" s="141" t="str">
        <f t="shared" si="30"/>
        <v/>
      </c>
      <c r="AT24" s="141" t="str">
        <f t="shared" si="30"/>
        <v/>
      </c>
      <c r="AU24" s="141" t="str">
        <f t="shared" si="30"/>
        <v/>
      </c>
      <c r="AV24" s="141" t="str">
        <f t="shared" si="31"/>
        <v/>
      </c>
      <c r="AW24" s="141" t="str">
        <f t="shared" si="31"/>
        <v/>
      </c>
      <c r="AX24" s="141" t="str">
        <f t="shared" si="31"/>
        <v/>
      </c>
      <c r="AY24" s="141" t="str">
        <f t="shared" si="31"/>
        <v/>
      </c>
      <c r="AZ24" s="141" t="str">
        <f t="shared" si="31"/>
        <v/>
      </c>
      <c r="BA24" s="141" t="str">
        <f t="shared" si="31"/>
        <v/>
      </c>
      <c r="BB24" s="141" t="str">
        <f t="shared" si="31"/>
        <v/>
      </c>
      <c r="BC24" s="141" t="str">
        <f t="shared" si="31"/>
        <v/>
      </c>
      <c r="BD24" s="141" t="str">
        <f t="shared" si="31"/>
        <v/>
      </c>
      <c r="BE24" s="141" t="str">
        <f t="shared" si="31"/>
        <v/>
      </c>
      <c r="BF24" s="141" t="str">
        <f t="shared" si="32"/>
        <v/>
      </c>
      <c r="BG24" s="141" t="str">
        <f t="shared" si="32"/>
        <v/>
      </c>
      <c r="BH24" s="141" t="str">
        <f t="shared" si="32"/>
        <v/>
      </c>
      <c r="BI24" s="141" t="str">
        <f t="shared" si="32"/>
        <v/>
      </c>
      <c r="BJ24" s="256" t="str">
        <f t="shared" si="32"/>
        <v/>
      </c>
      <c r="BK24" s="256" t="str">
        <f t="shared" si="32"/>
        <v/>
      </c>
      <c r="BL24" s="256" t="str">
        <f t="shared" si="37"/>
        <v/>
      </c>
      <c r="BM24" s="256" t="str">
        <f t="shared" si="37"/>
        <v/>
      </c>
      <c r="BN24" s="256" t="str">
        <f t="shared" si="37"/>
        <v/>
      </c>
      <c r="BO24" s="256" t="str">
        <f t="shared" si="37"/>
        <v/>
      </c>
      <c r="BP24" s="256" t="str">
        <f t="shared" si="37"/>
        <v/>
      </c>
      <c r="BQ24" s="256" t="str">
        <f t="shared" si="37"/>
        <v/>
      </c>
      <c r="BR24" s="256" t="str">
        <f t="shared" si="37"/>
        <v/>
      </c>
      <c r="BS24" s="256" t="str">
        <f t="shared" si="37"/>
        <v/>
      </c>
      <c r="BT24" s="256" t="str">
        <f t="shared" si="37"/>
        <v/>
      </c>
      <c r="BU24" s="256" t="str">
        <f t="shared" si="37"/>
        <v/>
      </c>
      <c r="BV24" s="256" t="str">
        <f t="shared" si="37"/>
        <v/>
      </c>
      <c r="BW24" s="256" t="str">
        <f t="shared" si="37"/>
        <v/>
      </c>
      <c r="BX24" s="256" t="str">
        <f t="shared" si="37"/>
        <v/>
      </c>
      <c r="BY24" s="256" t="str">
        <f t="shared" si="37"/>
        <v/>
      </c>
      <c r="BZ24" s="256" t="str">
        <f t="shared" si="37"/>
        <v/>
      </c>
      <c r="CA24" s="256" t="str">
        <f t="shared" si="37"/>
        <v/>
      </c>
      <c r="CB24" s="256" t="str">
        <f t="shared" si="37"/>
        <v/>
      </c>
      <c r="CC24" s="256" t="str">
        <f t="shared" si="37"/>
        <v/>
      </c>
      <c r="CD24" s="256" t="str">
        <f t="shared" si="37"/>
        <v/>
      </c>
      <c r="CE24" s="256" t="str">
        <f t="shared" si="37"/>
        <v/>
      </c>
      <c r="CF24" s="256" t="str">
        <f t="shared" si="37"/>
        <v/>
      </c>
      <c r="CG24" s="256" t="str">
        <f t="shared" si="37"/>
        <v/>
      </c>
      <c r="CH24" s="256" t="str">
        <f t="shared" si="37"/>
        <v/>
      </c>
      <c r="CI24" s="256" t="str">
        <f t="shared" si="37"/>
        <v/>
      </c>
      <c r="CJ24" s="256" t="str">
        <f t="shared" si="37"/>
        <v/>
      </c>
      <c r="CK24" s="256" t="str">
        <f t="shared" si="37"/>
        <v/>
      </c>
      <c r="CL24" s="256" t="str">
        <f t="shared" si="37"/>
        <v/>
      </c>
      <c r="CM24" s="256" t="str">
        <f t="shared" si="37"/>
        <v/>
      </c>
      <c r="CN24" s="256" t="str">
        <f t="shared" si="37"/>
        <v/>
      </c>
      <c r="CO24" s="256" t="str">
        <f t="shared" si="37"/>
        <v/>
      </c>
      <c r="CP24" s="256" t="str">
        <f t="shared" si="37"/>
        <v/>
      </c>
      <c r="CQ24" s="256" t="str">
        <f t="shared" si="37"/>
        <v/>
      </c>
      <c r="CR24" s="256" t="str">
        <f t="shared" si="37"/>
        <v/>
      </c>
      <c r="CS24" s="256" t="str">
        <f t="shared" si="37"/>
        <v/>
      </c>
      <c r="CT24" s="256" t="str">
        <f t="shared" si="37"/>
        <v/>
      </c>
      <c r="CU24" s="256" t="str">
        <f t="shared" si="37"/>
        <v/>
      </c>
      <c r="CV24" s="256" t="str">
        <f t="shared" si="37"/>
        <v/>
      </c>
      <c r="CW24" s="256" t="str">
        <f t="shared" si="37"/>
        <v/>
      </c>
      <c r="CX24" s="256" t="str">
        <f t="shared" si="37"/>
        <v/>
      </c>
      <c r="CY24" s="256" t="str">
        <f t="shared" si="37"/>
        <v/>
      </c>
      <c r="CZ24" s="256" t="str">
        <f t="shared" si="37"/>
        <v/>
      </c>
      <c r="DA24" s="256" t="str">
        <f t="shared" si="37"/>
        <v/>
      </c>
      <c r="DB24" s="256" t="str">
        <f t="shared" si="37"/>
        <v/>
      </c>
      <c r="DC24" s="256" t="str">
        <f t="shared" si="37"/>
        <v/>
      </c>
      <c r="DD24" s="256" t="str">
        <f t="shared" si="37"/>
        <v/>
      </c>
      <c r="DE24" s="256" t="str">
        <f t="shared" si="37"/>
        <v/>
      </c>
      <c r="DF24" s="256" t="str">
        <f t="shared" si="37"/>
        <v/>
      </c>
      <c r="DG24" s="256" t="str">
        <f t="shared" si="37"/>
        <v/>
      </c>
      <c r="DH24" s="256" t="str">
        <f t="shared" si="37"/>
        <v/>
      </c>
      <c r="DI24" s="256" t="str">
        <f t="shared" si="37"/>
        <v/>
      </c>
      <c r="DJ24" s="256" t="str">
        <f t="shared" si="37"/>
        <v/>
      </c>
      <c r="DK24" s="256" t="str">
        <f t="shared" si="37"/>
        <v/>
      </c>
      <c r="DL24" s="256" t="str">
        <f t="shared" si="37"/>
        <v/>
      </c>
      <c r="DM24" s="256" t="str">
        <f t="shared" si="37"/>
        <v/>
      </c>
      <c r="DN24" s="256" t="str">
        <f t="shared" si="37"/>
        <v/>
      </c>
      <c r="DO24" s="256" t="str">
        <f t="shared" si="37"/>
        <v/>
      </c>
      <c r="DP24" s="256" t="str">
        <f t="shared" si="37"/>
        <v/>
      </c>
      <c r="DQ24" s="256" t="str">
        <f t="shared" si="37"/>
        <v/>
      </c>
      <c r="DR24" s="256" t="str">
        <f t="shared" si="37"/>
        <v/>
      </c>
      <c r="DS24" s="256" t="str">
        <f t="shared" si="37"/>
        <v/>
      </c>
      <c r="DT24" s="256" t="str">
        <f t="shared" si="37"/>
        <v/>
      </c>
      <c r="DU24" s="256" t="str">
        <f t="shared" si="37"/>
        <v/>
      </c>
      <c r="DV24" s="256" t="str">
        <f t="shared" si="37"/>
        <v/>
      </c>
      <c r="DW24" s="256" t="str">
        <f t="shared" si="37"/>
        <v/>
      </c>
      <c r="DX24" s="256" t="str">
        <f t="shared" si="33"/>
        <v/>
      </c>
      <c r="DY24" s="256" t="str">
        <f t="shared" si="33"/>
        <v/>
      </c>
      <c r="DZ24" s="256" t="str">
        <f t="shared" si="33"/>
        <v/>
      </c>
      <c r="EA24" s="256" t="str">
        <f t="shared" si="33"/>
        <v/>
      </c>
      <c r="EB24" s="256" t="str">
        <f t="shared" si="33"/>
        <v/>
      </c>
      <c r="EC24" s="256" t="str">
        <f t="shared" si="33"/>
        <v/>
      </c>
      <c r="ED24" s="256" t="str">
        <f t="shared" si="33"/>
        <v/>
      </c>
      <c r="EE24" s="256" t="str">
        <f t="shared" si="33"/>
        <v/>
      </c>
      <c r="EF24" s="256" t="str">
        <f t="shared" si="33"/>
        <v/>
      </c>
      <c r="EG24" s="256" t="str">
        <f t="shared" si="33"/>
        <v/>
      </c>
      <c r="EH24" s="256" t="str">
        <f t="shared" si="34"/>
        <v/>
      </c>
      <c r="EI24" s="256" t="str">
        <f t="shared" si="34"/>
        <v/>
      </c>
      <c r="EJ24" s="256" t="str">
        <f t="shared" si="34"/>
        <v/>
      </c>
      <c r="EK24" s="256" t="str">
        <f t="shared" si="34"/>
        <v/>
      </c>
      <c r="EL24" s="256" t="str">
        <f t="shared" si="34"/>
        <v/>
      </c>
      <c r="EM24" s="256" t="str">
        <f t="shared" si="34"/>
        <v/>
      </c>
      <c r="EN24" s="256" t="str">
        <f t="shared" si="34"/>
        <v/>
      </c>
      <c r="EO24" s="256" t="str">
        <f t="shared" si="34"/>
        <v/>
      </c>
      <c r="EP24" s="256" t="str">
        <f t="shared" si="34"/>
        <v/>
      </c>
      <c r="EQ24" s="256" t="str">
        <f t="shared" si="34"/>
        <v/>
      </c>
      <c r="ER24" s="256" t="str">
        <f t="shared" si="34"/>
        <v/>
      </c>
      <c r="ES24" s="256" t="str">
        <f t="shared" si="34"/>
        <v/>
      </c>
      <c r="ET24" s="256" t="str">
        <f t="shared" si="34"/>
        <v/>
      </c>
      <c r="EU24" s="256" t="str">
        <f t="shared" si="34"/>
        <v/>
      </c>
      <c r="EV24" s="256" t="str">
        <f t="shared" si="34"/>
        <v/>
      </c>
      <c r="EW24" s="256" t="str">
        <f t="shared" si="34"/>
        <v/>
      </c>
      <c r="EX24" s="256" t="str">
        <f t="shared" si="34"/>
        <v/>
      </c>
      <c r="EY24" s="256" t="str">
        <f t="shared" si="34"/>
        <v/>
      </c>
      <c r="EZ24" s="256" t="str">
        <f t="shared" si="34"/>
        <v/>
      </c>
      <c r="FA24" s="256" t="str">
        <f t="shared" si="34"/>
        <v/>
      </c>
      <c r="FB24" s="256" t="str">
        <f t="shared" si="35"/>
        <v/>
      </c>
      <c r="FC24" s="256" t="str">
        <f t="shared" si="35"/>
        <v/>
      </c>
      <c r="FD24" s="256" t="str">
        <f t="shared" si="34"/>
        <v/>
      </c>
      <c r="FE24" s="256" t="str">
        <f t="shared" si="34"/>
        <v/>
      </c>
      <c r="FF24" s="256" t="str">
        <f t="shared" si="34"/>
        <v/>
      </c>
      <c r="FG24" s="256" t="str">
        <f t="shared" si="34"/>
        <v/>
      </c>
      <c r="FH24" s="256" t="str">
        <f t="shared" si="34"/>
        <v/>
      </c>
      <c r="FI24" s="256" t="str">
        <f t="shared" si="34"/>
        <v/>
      </c>
      <c r="FJ24" s="256" t="str">
        <f t="shared" si="34"/>
        <v/>
      </c>
      <c r="FK24" s="256" t="str">
        <f t="shared" si="34"/>
        <v/>
      </c>
      <c r="FL24" s="256" t="str">
        <f t="shared" si="34"/>
        <v/>
      </c>
      <c r="FM24" s="256" t="str">
        <f t="shared" si="34"/>
        <v/>
      </c>
      <c r="FN24" s="256" t="str">
        <f t="shared" si="34"/>
        <v/>
      </c>
      <c r="FO24" s="256" t="str">
        <f t="shared" si="34"/>
        <v/>
      </c>
      <c r="FP24" s="256" t="str">
        <f t="shared" si="34"/>
        <v/>
      </c>
      <c r="FQ24" s="256" t="str">
        <f t="shared" si="34"/>
        <v/>
      </c>
      <c r="FR24" s="256" t="str">
        <f t="shared" si="34"/>
        <v/>
      </c>
      <c r="FS24" s="256" t="str">
        <f t="shared" si="34"/>
        <v/>
      </c>
      <c r="FT24" s="256" t="str">
        <f t="shared" si="34"/>
        <v/>
      </c>
      <c r="FU24" s="256" t="str">
        <f t="shared" si="34"/>
        <v/>
      </c>
      <c r="FV24" s="256" t="str">
        <f t="shared" si="34"/>
        <v/>
      </c>
      <c r="FW24" s="256" t="str">
        <f t="shared" si="34"/>
        <v/>
      </c>
      <c r="FX24" s="256" t="str">
        <f t="shared" si="34"/>
        <v/>
      </c>
      <c r="FY24" s="256" t="str">
        <f t="shared" si="34"/>
        <v/>
      </c>
      <c r="FZ24" s="256" t="str">
        <f t="shared" si="34"/>
        <v/>
      </c>
      <c r="GA24" s="256" t="str">
        <f t="shared" si="34"/>
        <v/>
      </c>
      <c r="GB24" s="256" t="str">
        <f t="shared" si="34"/>
        <v/>
      </c>
      <c r="GC24" s="256" t="str">
        <f t="shared" si="34"/>
        <v/>
      </c>
      <c r="GD24" s="256" t="str">
        <f t="shared" si="34"/>
        <v/>
      </c>
      <c r="GE24" s="256" t="str">
        <f t="shared" si="34"/>
        <v/>
      </c>
      <c r="GF24" s="256" t="str">
        <f t="shared" si="34"/>
        <v/>
      </c>
      <c r="GG24" s="256" t="str">
        <f t="shared" si="34"/>
        <v/>
      </c>
      <c r="GH24" s="256" t="str">
        <f t="shared" si="34"/>
        <v/>
      </c>
      <c r="GI24" s="256" t="str">
        <f t="shared" si="34"/>
        <v/>
      </c>
      <c r="GJ24" s="256" t="str">
        <f t="shared" si="34"/>
        <v/>
      </c>
      <c r="GK24" s="256" t="str">
        <f t="shared" si="34"/>
        <v/>
      </c>
      <c r="GL24" s="256" t="str">
        <f t="shared" si="34"/>
        <v/>
      </c>
      <c r="GM24" s="256" t="str">
        <f t="shared" si="34"/>
        <v/>
      </c>
      <c r="GN24" s="256" t="str">
        <f t="shared" si="34"/>
        <v/>
      </c>
      <c r="GO24" s="256" t="str">
        <f t="shared" si="34"/>
        <v/>
      </c>
      <c r="GP24" s="256" t="str">
        <f t="shared" si="34"/>
        <v/>
      </c>
      <c r="GQ24" s="256" t="str">
        <f t="shared" si="34"/>
        <v/>
      </c>
      <c r="GR24" s="256" t="str">
        <f t="shared" si="34"/>
        <v/>
      </c>
      <c r="GS24" s="256" t="str">
        <f t="shared" ref="GS24:HJ27" si="39">IF(AND($C24="Goal",GS$8&gt;=$E24,GS$8&lt;=$E24+$F24-1),2,IF(AND($C24="Milestone",GS$8&gt;=$E24,GS$8&lt;=$E24+$F24-1),1,""))</f>
        <v/>
      </c>
      <c r="GT24" s="256" t="str">
        <f t="shared" si="39"/>
        <v/>
      </c>
      <c r="GU24" s="256" t="str">
        <f t="shared" si="39"/>
        <v/>
      </c>
      <c r="GV24" s="256" t="str">
        <f t="shared" si="39"/>
        <v/>
      </c>
      <c r="GW24" s="256" t="str">
        <f t="shared" si="39"/>
        <v/>
      </c>
      <c r="GX24" s="256" t="str">
        <f t="shared" si="39"/>
        <v/>
      </c>
      <c r="GY24" s="256" t="str">
        <f t="shared" si="39"/>
        <v/>
      </c>
      <c r="GZ24" s="256" t="str">
        <f t="shared" si="39"/>
        <v/>
      </c>
      <c r="HA24" s="256" t="str">
        <f t="shared" si="39"/>
        <v/>
      </c>
      <c r="HB24" s="256" t="str">
        <f t="shared" si="39"/>
        <v/>
      </c>
      <c r="HC24" s="256" t="str">
        <f t="shared" si="39"/>
        <v/>
      </c>
      <c r="HD24" s="256" t="str">
        <f t="shared" si="39"/>
        <v/>
      </c>
      <c r="HE24" s="256" t="str">
        <f t="shared" si="39"/>
        <v/>
      </c>
      <c r="HF24" s="256" t="str">
        <f t="shared" si="39"/>
        <v/>
      </c>
      <c r="HG24" s="256" t="str">
        <f t="shared" si="39"/>
        <v/>
      </c>
      <c r="HH24" s="256" t="str">
        <f t="shared" si="39"/>
        <v/>
      </c>
      <c r="HI24" s="256" t="str">
        <f t="shared" si="39"/>
        <v/>
      </c>
      <c r="HJ24" s="256" t="str">
        <f t="shared" si="39"/>
        <v/>
      </c>
    </row>
    <row r="25" spans="1:218" s="134" customFormat="1" ht="40.200000000000003" customHeight="1">
      <c r="A25" s="90"/>
      <c r="B25" s="182" t="s">
        <v>436</v>
      </c>
      <c r="C25" s="136" t="s">
        <v>432</v>
      </c>
      <c r="D25" s="144"/>
      <c r="E25" s="143"/>
      <c r="F25" s="142">
        <v>30</v>
      </c>
      <c r="G25" s="136"/>
      <c r="H25" s="141" t="str">
        <f t="shared" si="27"/>
        <v/>
      </c>
      <c r="I25" s="141" t="str">
        <f t="shared" si="27"/>
        <v/>
      </c>
      <c r="J25" s="141" t="str">
        <f t="shared" si="27"/>
        <v/>
      </c>
      <c r="K25" s="256" t="str">
        <f t="shared" si="27"/>
        <v/>
      </c>
      <c r="L25" s="256" t="str">
        <f t="shared" si="27"/>
        <v/>
      </c>
      <c r="M25" s="141" t="str">
        <f t="shared" si="27"/>
        <v/>
      </c>
      <c r="N25" s="141" t="str">
        <f t="shared" si="27"/>
        <v/>
      </c>
      <c r="O25" s="141" t="str">
        <f t="shared" si="27"/>
        <v/>
      </c>
      <c r="P25" s="141" t="str">
        <f t="shared" si="27"/>
        <v/>
      </c>
      <c r="Q25" s="141" t="str">
        <f t="shared" si="27"/>
        <v/>
      </c>
      <c r="R25" s="141" t="str">
        <f t="shared" si="28"/>
        <v/>
      </c>
      <c r="S25" s="141" t="str">
        <f t="shared" si="28"/>
        <v/>
      </c>
      <c r="T25" s="141" t="str">
        <f t="shared" si="28"/>
        <v/>
      </c>
      <c r="U25" s="141" t="str">
        <f t="shared" si="28"/>
        <v/>
      </c>
      <c r="V25" s="141" t="str">
        <f t="shared" si="28"/>
        <v/>
      </c>
      <c r="W25" s="141" t="str">
        <f t="shared" si="28"/>
        <v/>
      </c>
      <c r="X25" s="141" t="str">
        <f t="shared" si="28"/>
        <v/>
      </c>
      <c r="Y25" s="141" t="str">
        <f t="shared" si="28"/>
        <v/>
      </c>
      <c r="Z25" s="141" t="str">
        <f t="shared" si="28"/>
        <v/>
      </c>
      <c r="AA25" s="141" t="str">
        <f t="shared" si="28"/>
        <v/>
      </c>
      <c r="AB25" s="141" t="str">
        <f t="shared" si="29"/>
        <v/>
      </c>
      <c r="AC25" s="141" t="str">
        <f t="shared" si="29"/>
        <v/>
      </c>
      <c r="AD25" s="141" t="str">
        <f t="shared" si="29"/>
        <v/>
      </c>
      <c r="AE25" s="141" t="str">
        <f t="shared" si="29"/>
        <v/>
      </c>
      <c r="AF25" s="141" t="str">
        <f t="shared" si="29"/>
        <v/>
      </c>
      <c r="AG25" s="141" t="str">
        <f t="shared" si="29"/>
        <v/>
      </c>
      <c r="AH25" s="141" t="str">
        <f t="shared" si="29"/>
        <v/>
      </c>
      <c r="AI25" s="141" t="str">
        <f t="shared" si="29"/>
        <v/>
      </c>
      <c r="AJ25" s="141" t="str">
        <f t="shared" si="29"/>
        <v/>
      </c>
      <c r="AK25" s="141" t="str">
        <f t="shared" si="29"/>
        <v/>
      </c>
      <c r="AL25" s="141" t="str">
        <f t="shared" si="30"/>
        <v/>
      </c>
      <c r="AM25" s="141" t="str">
        <f t="shared" si="30"/>
        <v/>
      </c>
      <c r="AN25" s="141" t="str">
        <f t="shared" si="30"/>
        <v/>
      </c>
      <c r="AO25" s="141" t="str">
        <f t="shared" si="30"/>
        <v/>
      </c>
      <c r="AP25" s="141" t="str">
        <f t="shared" si="30"/>
        <v/>
      </c>
      <c r="AQ25" s="141" t="str">
        <f t="shared" si="30"/>
        <v/>
      </c>
      <c r="AR25" s="141" t="str">
        <f t="shared" si="30"/>
        <v/>
      </c>
      <c r="AS25" s="141" t="str">
        <f t="shared" si="30"/>
        <v/>
      </c>
      <c r="AT25" s="141" t="str">
        <f t="shared" si="30"/>
        <v/>
      </c>
      <c r="AU25" s="141" t="str">
        <f t="shared" si="30"/>
        <v/>
      </c>
      <c r="AV25" s="141" t="str">
        <f t="shared" si="31"/>
        <v/>
      </c>
      <c r="AW25" s="141" t="str">
        <f t="shared" si="31"/>
        <v/>
      </c>
      <c r="AX25" s="141" t="str">
        <f t="shared" si="31"/>
        <v/>
      </c>
      <c r="AY25" s="141" t="str">
        <f t="shared" si="31"/>
        <v/>
      </c>
      <c r="AZ25" s="141" t="str">
        <f t="shared" si="31"/>
        <v/>
      </c>
      <c r="BA25" s="141" t="str">
        <f t="shared" si="31"/>
        <v/>
      </c>
      <c r="BB25" s="141" t="str">
        <f t="shared" si="31"/>
        <v/>
      </c>
      <c r="BC25" s="141" t="str">
        <f t="shared" si="31"/>
        <v/>
      </c>
      <c r="BD25" s="141" t="str">
        <f t="shared" si="31"/>
        <v/>
      </c>
      <c r="BE25" s="141" t="str">
        <f t="shared" si="31"/>
        <v/>
      </c>
      <c r="BF25" s="141" t="str">
        <f t="shared" si="32"/>
        <v/>
      </c>
      <c r="BG25" s="141" t="str">
        <f t="shared" si="32"/>
        <v/>
      </c>
      <c r="BH25" s="141" t="str">
        <f t="shared" si="32"/>
        <v/>
      </c>
      <c r="BI25" s="141" t="str">
        <f t="shared" si="32"/>
        <v/>
      </c>
      <c r="BJ25" s="256" t="str">
        <f t="shared" si="32"/>
        <v/>
      </c>
      <c r="BK25" s="256" t="str">
        <f t="shared" si="32"/>
        <v/>
      </c>
      <c r="BL25" s="256" t="str">
        <f t="shared" si="37"/>
        <v/>
      </c>
      <c r="BM25" s="256" t="str">
        <f t="shared" si="37"/>
        <v/>
      </c>
      <c r="BN25" s="256" t="str">
        <f t="shared" si="37"/>
        <v/>
      </c>
      <c r="BO25" s="256" t="str">
        <f t="shared" si="37"/>
        <v/>
      </c>
      <c r="BP25" s="256" t="str">
        <f t="shared" si="37"/>
        <v/>
      </c>
      <c r="BQ25" s="256" t="str">
        <f t="shared" si="37"/>
        <v/>
      </c>
      <c r="BR25" s="256" t="str">
        <f t="shared" si="37"/>
        <v/>
      </c>
      <c r="BS25" s="256" t="str">
        <f t="shared" si="37"/>
        <v/>
      </c>
      <c r="BT25" s="256" t="str">
        <f t="shared" si="37"/>
        <v/>
      </c>
      <c r="BU25" s="256" t="str">
        <f t="shared" si="37"/>
        <v/>
      </c>
      <c r="BV25" s="256" t="str">
        <f t="shared" si="37"/>
        <v/>
      </c>
      <c r="BW25" s="256" t="str">
        <f t="shared" si="37"/>
        <v/>
      </c>
      <c r="BX25" s="256" t="str">
        <f t="shared" si="37"/>
        <v/>
      </c>
      <c r="BY25" s="256" t="str">
        <f t="shared" si="37"/>
        <v/>
      </c>
      <c r="BZ25" s="256" t="str">
        <f t="shared" si="37"/>
        <v/>
      </c>
      <c r="CA25" s="256" t="str">
        <f t="shared" si="37"/>
        <v/>
      </c>
      <c r="CB25" s="256" t="str">
        <f t="shared" si="37"/>
        <v/>
      </c>
      <c r="CC25" s="256" t="str">
        <f t="shared" si="37"/>
        <v/>
      </c>
      <c r="CD25" s="256" t="str">
        <f t="shared" si="37"/>
        <v/>
      </c>
      <c r="CE25" s="256" t="str">
        <f t="shared" si="37"/>
        <v/>
      </c>
      <c r="CF25" s="256" t="str">
        <f t="shared" si="37"/>
        <v/>
      </c>
      <c r="CG25" s="256" t="str">
        <f t="shared" si="37"/>
        <v/>
      </c>
      <c r="CH25" s="256" t="str">
        <f t="shared" si="37"/>
        <v/>
      </c>
      <c r="CI25" s="256" t="str">
        <f t="shared" si="37"/>
        <v/>
      </c>
      <c r="CJ25" s="256" t="str">
        <f t="shared" si="37"/>
        <v/>
      </c>
      <c r="CK25" s="256" t="str">
        <f t="shared" si="37"/>
        <v/>
      </c>
      <c r="CL25" s="256" t="str">
        <f t="shared" si="37"/>
        <v/>
      </c>
      <c r="CM25" s="256" t="str">
        <f t="shared" si="37"/>
        <v/>
      </c>
      <c r="CN25" s="256" t="str">
        <f t="shared" si="37"/>
        <v/>
      </c>
      <c r="CO25" s="256" t="str">
        <f t="shared" si="37"/>
        <v/>
      </c>
      <c r="CP25" s="256" t="str">
        <f t="shared" si="37"/>
        <v/>
      </c>
      <c r="CQ25" s="256" t="str">
        <f t="shared" si="37"/>
        <v/>
      </c>
      <c r="CR25" s="256" t="str">
        <f t="shared" si="37"/>
        <v/>
      </c>
      <c r="CS25" s="256" t="str">
        <f t="shared" si="37"/>
        <v/>
      </c>
      <c r="CT25" s="256" t="str">
        <f t="shared" si="37"/>
        <v/>
      </c>
      <c r="CU25" s="256" t="str">
        <f t="shared" si="37"/>
        <v/>
      </c>
      <c r="CV25" s="256" t="str">
        <f t="shared" si="37"/>
        <v/>
      </c>
      <c r="CW25" s="256" t="str">
        <f t="shared" si="37"/>
        <v/>
      </c>
      <c r="CX25" s="256" t="str">
        <f t="shared" si="37"/>
        <v/>
      </c>
      <c r="CY25" s="256" t="str">
        <f t="shared" si="37"/>
        <v/>
      </c>
      <c r="CZ25" s="256" t="str">
        <f t="shared" si="37"/>
        <v/>
      </c>
      <c r="DA25" s="256" t="str">
        <f t="shared" si="37"/>
        <v/>
      </c>
      <c r="DB25" s="256" t="str">
        <f t="shared" si="37"/>
        <v/>
      </c>
      <c r="DC25" s="256" t="str">
        <f t="shared" si="37"/>
        <v/>
      </c>
      <c r="DD25" s="256" t="str">
        <f t="shared" si="37"/>
        <v/>
      </c>
      <c r="DE25" s="256" t="str">
        <f t="shared" si="37"/>
        <v/>
      </c>
      <c r="DF25" s="256" t="str">
        <f t="shared" si="37"/>
        <v/>
      </c>
      <c r="DG25" s="256" t="str">
        <f t="shared" si="37"/>
        <v/>
      </c>
      <c r="DH25" s="256" t="str">
        <f t="shared" si="37"/>
        <v/>
      </c>
      <c r="DI25" s="256" t="str">
        <f t="shared" si="37"/>
        <v/>
      </c>
      <c r="DJ25" s="256" t="str">
        <f t="shared" si="37"/>
        <v/>
      </c>
      <c r="DK25" s="256" t="str">
        <f t="shared" si="37"/>
        <v/>
      </c>
      <c r="DL25" s="256" t="str">
        <f t="shared" si="37"/>
        <v/>
      </c>
      <c r="DM25" s="256" t="str">
        <f t="shared" si="37"/>
        <v/>
      </c>
      <c r="DN25" s="256" t="str">
        <f t="shared" si="37"/>
        <v/>
      </c>
      <c r="DO25" s="256" t="str">
        <f t="shared" si="37"/>
        <v/>
      </c>
      <c r="DP25" s="256" t="str">
        <f t="shared" si="37"/>
        <v/>
      </c>
      <c r="DQ25" s="256" t="str">
        <f t="shared" si="37"/>
        <v/>
      </c>
      <c r="DR25" s="256" t="str">
        <f t="shared" si="37"/>
        <v/>
      </c>
      <c r="DS25" s="256" t="str">
        <f t="shared" si="37"/>
        <v/>
      </c>
      <c r="DT25" s="256" t="str">
        <f t="shared" si="37"/>
        <v/>
      </c>
      <c r="DU25" s="256" t="str">
        <f t="shared" si="37"/>
        <v/>
      </c>
      <c r="DV25" s="256" t="str">
        <f t="shared" si="37"/>
        <v/>
      </c>
      <c r="DW25" s="256" t="str">
        <f t="shared" ref="DW25:GH27" si="40">IF(AND($C25="Goal",DW$8&gt;=$E25,DW$8&lt;=$E25+$F25-1),2,IF(AND($C25="Milestone",DW$8&gt;=$E25,DW$8&lt;=$E25+$F25-1),1,""))</f>
        <v/>
      </c>
      <c r="DX25" s="256" t="str">
        <f t="shared" si="40"/>
        <v/>
      </c>
      <c r="DY25" s="256" t="str">
        <f t="shared" si="40"/>
        <v/>
      </c>
      <c r="DZ25" s="256" t="str">
        <f t="shared" si="40"/>
        <v/>
      </c>
      <c r="EA25" s="256" t="str">
        <f t="shared" si="40"/>
        <v/>
      </c>
      <c r="EB25" s="256" t="str">
        <f t="shared" si="40"/>
        <v/>
      </c>
      <c r="EC25" s="256" t="str">
        <f t="shared" si="40"/>
        <v/>
      </c>
      <c r="ED25" s="256" t="str">
        <f t="shared" si="40"/>
        <v/>
      </c>
      <c r="EE25" s="256" t="str">
        <f t="shared" si="40"/>
        <v/>
      </c>
      <c r="EF25" s="256" t="str">
        <f t="shared" si="40"/>
        <v/>
      </c>
      <c r="EG25" s="256" t="str">
        <f t="shared" si="40"/>
        <v/>
      </c>
      <c r="EH25" s="256" t="str">
        <f t="shared" si="40"/>
        <v/>
      </c>
      <c r="EI25" s="256" t="str">
        <f t="shared" si="40"/>
        <v/>
      </c>
      <c r="EJ25" s="256" t="str">
        <f t="shared" si="40"/>
        <v/>
      </c>
      <c r="EK25" s="256" t="str">
        <f t="shared" si="40"/>
        <v/>
      </c>
      <c r="EL25" s="256" t="str">
        <f t="shared" si="40"/>
        <v/>
      </c>
      <c r="EM25" s="256" t="str">
        <f t="shared" si="40"/>
        <v/>
      </c>
      <c r="EN25" s="256" t="str">
        <f t="shared" si="40"/>
        <v/>
      </c>
      <c r="EO25" s="256" t="str">
        <f t="shared" si="40"/>
        <v/>
      </c>
      <c r="EP25" s="256" t="str">
        <f t="shared" si="40"/>
        <v/>
      </c>
      <c r="EQ25" s="256" t="str">
        <f t="shared" si="40"/>
        <v/>
      </c>
      <c r="ER25" s="256" t="str">
        <f t="shared" si="40"/>
        <v/>
      </c>
      <c r="ES25" s="256" t="str">
        <f t="shared" si="40"/>
        <v/>
      </c>
      <c r="ET25" s="256" t="str">
        <f t="shared" si="40"/>
        <v/>
      </c>
      <c r="EU25" s="256" t="str">
        <f t="shared" si="40"/>
        <v/>
      </c>
      <c r="EV25" s="256" t="str">
        <f t="shared" si="40"/>
        <v/>
      </c>
      <c r="EW25" s="256" t="str">
        <f t="shared" si="40"/>
        <v/>
      </c>
      <c r="EX25" s="256" t="str">
        <f t="shared" si="40"/>
        <v/>
      </c>
      <c r="EY25" s="256" t="str">
        <f t="shared" si="40"/>
        <v/>
      </c>
      <c r="EZ25" s="256" t="str">
        <f t="shared" si="40"/>
        <v/>
      </c>
      <c r="FA25" s="256" t="str">
        <f t="shared" si="40"/>
        <v/>
      </c>
      <c r="FB25" s="256" t="str">
        <f t="shared" si="35"/>
        <v/>
      </c>
      <c r="FC25" s="256" t="str">
        <f t="shared" si="35"/>
        <v/>
      </c>
      <c r="FD25" s="256" t="str">
        <f t="shared" si="40"/>
        <v/>
      </c>
      <c r="FE25" s="256" t="str">
        <f t="shared" si="40"/>
        <v/>
      </c>
      <c r="FF25" s="256" t="str">
        <f t="shared" si="40"/>
        <v/>
      </c>
      <c r="FG25" s="256" t="str">
        <f t="shared" si="40"/>
        <v/>
      </c>
      <c r="FH25" s="256" t="str">
        <f t="shared" si="40"/>
        <v/>
      </c>
      <c r="FI25" s="256" t="str">
        <f t="shared" si="40"/>
        <v/>
      </c>
      <c r="FJ25" s="256" t="str">
        <f t="shared" si="40"/>
        <v/>
      </c>
      <c r="FK25" s="256" t="str">
        <f t="shared" si="40"/>
        <v/>
      </c>
      <c r="FL25" s="256" t="str">
        <f t="shared" si="40"/>
        <v/>
      </c>
      <c r="FM25" s="256" t="str">
        <f t="shared" si="40"/>
        <v/>
      </c>
      <c r="FN25" s="256" t="str">
        <f t="shared" si="40"/>
        <v/>
      </c>
      <c r="FO25" s="256" t="str">
        <f t="shared" si="40"/>
        <v/>
      </c>
      <c r="FP25" s="256" t="str">
        <f t="shared" si="40"/>
        <v/>
      </c>
      <c r="FQ25" s="256" t="str">
        <f t="shared" si="40"/>
        <v/>
      </c>
      <c r="FR25" s="256" t="str">
        <f t="shared" si="40"/>
        <v/>
      </c>
      <c r="FS25" s="256" t="str">
        <f t="shared" si="40"/>
        <v/>
      </c>
      <c r="FT25" s="256" t="str">
        <f t="shared" si="40"/>
        <v/>
      </c>
      <c r="FU25" s="256" t="str">
        <f t="shared" si="40"/>
        <v/>
      </c>
      <c r="FV25" s="256" t="str">
        <f t="shared" si="40"/>
        <v/>
      </c>
      <c r="FW25" s="256" t="str">
        <f t="shared" si="40"/>
        <v/>
      </c>
      <c r="FX25" s="256" t="str">
        <f t="shared" si="40"/>
        <v/>
      </c>
      <c r="FY25" s="256" t="str">
        <f t="shared" si="40"/>
        <v/>
      </c>
      <c r="FZ25" s="256" t="str">
        <f t="shared" si="40"/>
        <v/>
      </c>
      <c r="GA25" s="256" t="str">
        <f t="shared" si="40"/>
        <v/>
      </c>
      <c r="GB25" s="256" t="str">
        <f t="shared" si="40"/>
        <v/>
      </c>
      <c r="GC25" s="256" t="str">
        <f t="shared" si="40"/>
        <v/>
      </c>
      <c r="GD25" s="256" t="str">
        <f t="shared" si="40"/>
        <v/>
      </c>
      <c r="GE25" s="256" t="str">
        <f t="shared" si="40"/>
        <v/>
      </c>
      <c r="GF25" s="256" t="str">
        <f t="shared" si="40"/>
        <v/>
      </c>
      <c r="GG25" s="256" t="str">
        <f t="shared" si="40"/>
        <v/>
      </c>
      <c r="GH25" s="256" t="str">
        <f t="shared" si="40"/>
        <v/>
      </c>
      <c r="GI25" s="256" t="str">
        <f t="shared" ref="GI25:HF27" si="41">IF(AND($C25="Goal",GI$8&gt;=$E25,GI$8&lt;=$E25+$F25-1),2,IF(AND($C25="Milestone",GI$8&gt;=$E25,GI$8&lt;=$E25+$F25-1),1,""))</f>
        <v/>
      </c>
      <c r="GJ25" s="256" t="str">
        <f t="shared" si="41"/>
        <v/>
      </c>
      <c r="GK25" s="256" t="str">
        <f t="shared" si="41"/>
        <v/>
      </c>
      <c r="GL25" s="256" t="str">
        <f t="shared" si="41"/>
        <v/>
      </c>
      <c r="GM25" s="256" t="str">
        <f t="shared" si="41"/>
        <v/>
      </c>
      <c r="GN25" s="256" t="str">
        <f t="shared" si="41"/>
        <v/>
      </c>
      <c r="GO25" s="256" t="str">
        <f t="shared" si="41"/>
        <v/>
      </c>
      <c r="GP25" s="256" t="str">
        <f t="shared" si="41"/>
        <v/>
      </c>
      <c r="GQ25" s="256" t="str">
        <f t="shared" si="41"/>
        <v/>
      </c>
      <c r="GR25" s="256" t="str">
        <f t="shared" si="41"/>
        <v/>
      </c>
      <c r="GS25" s="256" t="str">
        <f t="shared" si="41"/>
        <v/>
      </c>
      <c r="GT25" s="256" t="str">
        <f t="shared" si="41"/>
        <v/>
      </c>
      <c r="GU25" s="256" t="str">
        <f t="shared" si="41"/>
        <v/>
      </c>
      <c r="GV25" s="256" t="str">
        <f t="shared" si="41"/>
        <v/>
      </c>
      <c r="GW25" s="256" t="str">
        <f t="shared" si="41"/>
        <v/>
      </c>
      <c r="GX25" s="256" t="str">
        <f t="shared" si="41"/>
        <v/>
      </c>
      <c r="GY25" s="256" t="str">
        <f t="shared" si="41"/>
        <v/>
      </c>
      <c r="GZ25" s="256" t="str">
        <f t="shared" si="41"/>
        <v/>
      </c>
      <c r="HA25" s="256" t="str">
        <f t="shared" si="41"/>
        <v/>
      </c>
      <c r="HB25" s="256" t="str">
        <f t="shared" si="41"/>
        <v/>
      </c>
      <c r="HC25" s="256" t="str">
        <f t="shared" si="41"/>
        <v/>
      </c>
      <c r="HD25" s="256" t="str">
        <f t="shared" si="41"/>
        <v/>
      </c>
      <c r="HE25" s="256" t="str">
        <f t="shared" si="41"/>
        <v/>
      </c>
      <c r="HF25" s="256" t="str">
        <f t="shared" si="41"/>
        <v/>
      </c>
      <c r="HG25" s="256" t="str">
        <f t="shared" si="39"/>
        <v/>
      </c>
      <c r="HH25" s="256" t="str">
        <f t="shared" si="39"/>
        <v/>
      </c>
      <c r="HI25" s="256" t="str">
        <f t="shared" si="39"/>
        <v/>
      </c>
      <c r="HJ25" s="256" t="str">
        <f t="shared" si="39"/>
        <v/>
      </c>
    </row>
    <row r="26" spans="1:218" s="134" customFormat="1" ht="40.200000000000003" customHeight="1">
      <c r="A26" s="90"/>
      <c r="B26" s="183" t="s">
        <v>437</v>
      </c>
      <c r="C26" s="136" t="s">
        <v>432</v>
      </c>
      <c r="D26" s="144"/>
      <c r="E26" s="143"/>
      <c r="F26" s="142"/>
      <c r="G26" s="136"/>
      <c r="H26" s="141" t="str">
        <f t="shared" si="27"/>
        <v/>
      </c>
      <c r="I26" s="141" t="str">
        <f t="shared" si="27"/>
        <v/>
      </c>
      <c r="J26" s="141" t="str">
        <f t="shared" si="27"/>
        <v/>
      </c>
      <c r="K26" s="256" t="str">
        <f t="shared" si="27"/>
        <v/>
      </c>
      <c r="L26" s="256" t="str">
        <f t="shared" si="27"/>
        <v/>
      </c>
      <c r="M26" s="141" t="str">
        <f t="shared" si="27"/>
        <v/>
      </c>
      <c r="N26" s="141" t="str">
        <f t="shared" si="27"/>
        <v/>
      </c>
      <c r="O26" s="141" t="str">
        <f t="shared" si="27"/>
        <v/>
      </c>
      <c r="P26" s="141" t="str">
        <f t="shared" si="27"/>
        <v/>
      </c>
      <c r="Q26" s="141" t="str">
        <f t="shared" si="27"/>
        <v/>
      </c>
      <c r="R26" s="141" t="str">
        <f t="shared" si="28"/>
        <v/>
      </c>
      <c r="S26" s="141" t="str">
        <f t="shared" si="28"/>
        <v/>
      </c>
      <c r="T26" s="141" t="str">
        <f t="shared" si="28"/>
        <v/>
      </c>
      <c r="U26" s="141" t="str">
        <f t="shared" si="28"/>
        <v/>
      </c>
      <c r="V26" s="141" t="str">
        <f t="shared" si="28"/>
        <v/>
      </c>
      <c r="W26" s="141" t="str">
        <f t="shared" si="28"/>
        <v/>
      </c>
      <c r="X26" s="141" t="str">
        <f t="shared" si="28"/>
        <v/>
      </c>
      <c r="Y26" s="141" t="str">
        <f t="shared" si="28"/>
        <v/>
      </c>
      <c r="Z26" s="141" t="str">
        <f t="shared" si="28"/>
        <v/>
      </c>
      <c r="AA26" s="141" t="str">
        <f t="shared" si="28"/>
        <v/>
      </c>
      <c r="AB26" s="141" t="str">
        <f t="shared" si="29"/>
        <v/>
      </c>
      <c r="AC26" s="141" t="str">
        <f t="shared" si="29"/>
        <v/>
      </c>
      <c r="AD26" s="141" t="str">
        <f t="shared" si="29"/>
        <v/>
      </c>
      <c r="AE26" s="141" t="str">
        <f t="shared" si="29"/>
        <v/>
      </c>
      <c r="AF26" s="141" t="str">
        <f t="shared" si="29"/>
        <v/>
      </c>
      <c r="AG26" s="141" t="str">
        <f t="shared" si="29"/>
        <v/>
      </c>
      <c r="AH26" s="141" t="str">
        <f t="shared" si="29"/>
        <v/>
      </c>
      <c r="AI26" s="141" t="str">
        <f t="shared" si="29"/>
        <v/>
      </c>
      <c r="AJ26" s="141" t="str">
        <f t="shared" si="29"/>
        <v/>
      </c>
      <c r="AK26" s="141" t="str">
        <f t="shared" si="29"/>
        <v/>
      </c>
      <c r="AL26" s="141" t="str">
        <f t="shared" si="30"/>
        <v/>
      </c>
      <c r="AM26" s="141" t="str">
        <f t="shared" si="30"/>
        <v/>
      </c>
      <c r="AN26" s="141" t="str">
        <f t="shared" si="30"/>
        <v/>
      </c>
      <c r="AO26" s="141" t="str">
        <f t="shared" si="30"/>
        <v/>
      </c>
      <c r="AP26" s="141" t="str">
        <f t="shared" si="30"/>
        <v/>
      </c>
      <c r="AQ26" s="141" t="str">
        <f t="shared" si="30"/>
        <v/>
      </c>
      <c r="AR26" s="141" t="str">
        <f t="shared" si="30"/>
        <v/>
      </c>
      <c r="AS26" s="141" t="str">
        <f t="shared" si="30"/>
        <v/>
      </c>
      <c r="AT26" s="141" t="str">
        <f t="shared" si="30"/>
        <v/>
      </c>
      <c r="AU26" s="141" t="str">
        <f t="shared" si="30"/>
        <v/>
      </c>
      <c r="AV26" s="141" t="str">
        <f t="shared" si="31"/>
        <v/>
      </c>
      <c r="AW26" s="141" t="str">
        <f t="shared" si="31"/>
        <v/>
      </c>
      <c r="AX26" s="141" t="str">
        <f t="shared" si="31"/>
        <v/>
      </c>
      <c r="AY26" s="141" t="str">
        <f t="shared" si="31"/>
        <v/>
      </c>
      <c r="AZ26" s="141" t="str">
        <f t="shared" si="31"/>
        <v/>
      </c>
      <c r="BA26" s="141" t="str">
        <f t="shared" si="31"/>
        <v/>
      </c>
      <c r="BB26" s="141" t="str">
        <f t="shared" si="31"/>
        <v/>
      </c>
      <c r="BC26" s="141" t="str">
        <f t="shared" si="31"/>
        <v/>
      </c>
      <c r="BD26" s="141" t="str">
        <f t="shared" si="31"/>
        <v/>
      </c>
      <c r="BE26" s="141" t="str">
        <f t="shared" si="31"/>
        <v/>
      </c>
      <c r="BF26" s="141" t="str">
        <f t="shared" si="32"/>
        <v/>
      </c>
      <c r="BG26" s="141" t="str">
        <f t="shared" si="32"/>
        <v/>
      </c>
      <c r="BH26" s="141" t="str">
        <f t="shared" si="32"/>
        <v/>
      </c>
      <c r="BI26" s="141" t="str">
        <f t="shared" si="32"/>
        <v/>
      </c>
      <c r="BJ26" s="256" t="str">
        <f t="shared" si="32"/>
        <v/>
      </c>
      <c r="BK26" s="256" t="str">
        <f t="shared" si="32"/>
        <v/>
      </c>
      <c r="BL26" s="256" t="str">
        <f t="shared" ref="BL26:DW27" si="42">IF(AND($C26="Goal",BL$8&gt;=$E26,BL$8&lt;=$E26+$F26-1),2,IF(AND($C26="Milestone",BL$8&gt;=$E26,BL$8&lt;=$E26+$F26-1),1,""))</f>
        <v/>
      </c>
      <c r="BM26" s="256" t="str">
        <f t="shared" si="42"/>
        <v/>
      </c>
      <c r="BN26" s="256" t="str">
        <f t="shared" si="42"/>
        <v/>
      </c>
      <c r="BO26" s="256" t="str">
        <f t="shared" si="42"/>
        <v/>
      </c>
      <c r="BP26" s="256" t="str">
        <f t="shared" si="42"/>
        <v/>
      </c>
      <c r="BQ26" s="256" t="str">
        <f t="shared" si="42"/>
        <v/>
      </c>
      <c r="BR26" s="256" t="str">
        <f t="shared" si="42"/>
        <v/>
      </c>
      <c r="BS26" s="256" t="str">
        <f t="shared" si="42"/>
        <v/>
      </c>
      <c r="BT26" s="256" t="str">
        <f t="shared" si="42"/>
        <v/>
      </c>
      <c r="BU26" s="256" t="str">
        <f t="shared" si="42"/>
        <v/>
      </c>
      <c r="BV26" s="256" t="str">
        <f t="shared" si="42"/>
        <v/>
      </c>
      <c r="BW26" s="256" t="str">
        <f t="shared" si="42"/>
        <v/>
      </c>
      <c r="BX26" s="256" t="str">
        <f t="shared" si="42"/>
        <v/>
      </c>
      <c r="BY26" s="256" t="str">
        <f t="shared" si="42"/>
        <v/>
      </c>
      <c r="BZ26" s="256" t="str">
        <f t="shared" si="42"/>
        <v/>
      </c>
      <c r="CA26" s="256" t="str">
        <f t="shared" si="42"/>
        <v/>
      </c>
      <c r="CB26" s="256" t="str">
        <f t="shared" si="42"/>
        <v/>
      </c>
      <c r="CC26" s="256" t="str">
        <f t="shared" si="42"/>
        <v/>
      </c>
      <c r="CD26" s="256" t="str">
        <f t="shared" si="42"/>
        <v/>
      </c>
      <c r="CE26" s="256" t="str">
        <f t="shared" si="42"/>
        <v/>
      </c>
      <c r="CF26" s="256" t="str">
        <f t="shared" si="42"/>
        <v/>
      </c>
      <c r="CG26" s="256" t="str">
        <f t="shared" si="42"/>
        <v/>
      </c>
      <c r="CH26" s="256" t="str">
        <f t="shared" si="42"/>
        <v/>
      </c>
      <c r="CI26" s="256" t="str">
        <f t="shared" si="42"/>
        <v/>
      </c>
      <c r="CJ26" s="256" t="str">
        <f t="shared" si="42"/>
        <v/>
      </c>
      <c r="CK26" s="256" t="str">
        <f t="shared" si="42"/>
        <v/>
      </c>
      <c r="CL26" s="256" t="str">
        <f t="shared" si="42"/>
        <v/>
      </c>
      <c r="CM26" s="256" t="str">
        <f t="shared" si="42"/>
        <v/>
      </c>
      <c r="CN26" s="256" t="str">
        <f t="shared" si="42"/>
        <v/>
      </c>
      <c r="CO26" s="256" t="str">
        <f t="shared" si="42"/>
        <v/>
      </c>
      <c r="CP26" s="256" t="str">
        <f t="shared" si="42"/>
        <v/>
      </c>
      <c r="CQ26" s="256" t="str">
        <f t="shared" si="42"/>
        <v/>
      </c>
      <c r="CR26" s="256" t="str">
        <f t="shared" si="42"/>
        <v/>
      </c>
      <c r="CS26" s="256" t="str">
        <f t="shared" si="42"/>
        <v/>
      </c>
      <c r="CT26" s="256" t="str">
        <f t="shared" si="42"/>
        <v/>
      </c>
      <c r="CU26" s="256" t="str">
        <f t="shared" si="42"/>
        <v/>
      </c>
      <c r="CV26" s="256" t="str">
        <f t="shared" si="42"/>
        <v/>
      </c>
      <c r="CW26" s="256" t="str">
        <f t="shared" si="42"/>
        <v/>
      </c>
      <c r="CX26" s="256" t="str">
        <f t="shared" si="42"/>
        <v/>
      </c>
      <c r="CY26" s="256" t="str">
        <f t="shared" si="42"/>
        <v/>
      </c>
      <c r="CZ26" s="256" t="str">
        <f t="shared" si="42"/>
        <v/>
      </c>
      <c r="DA26" s="256" t="str">
        <f t="shared" si="42"/>
        <v/>
      </c>
      <c r="DB26" s="256" t="str">
        <f t="shared" si="42"/>
        <v/>
      </c>
      <c r="DC26" s="256" t="str">
        <f t="shared" si="42"/>
        <v/>
      </c>
      <c r="DD26" s="256" t="str">
        <f t="shared" si="42"/>
        <v/>
      </c>
      <c r="DE26" s="256" t="str">
        <f t="shared" si="42"/>
        <v/>
      </c>
      <c r="DF26" s="256" t="str">
        <f t="shared" si="42"/>
        <v/>
      </c>
      <c r="DG26" s="256" t="str">
        <f t="shared" si="42"/>
        <v/>
      </c>
      <c r="DH26" s="256" t="str">
        <f t="shared" si="42"/>
        <v/>
      </c>
      <c r="DI26" s="256" t="str">
        <f t="shared" si="42"/>
        <v/>
      </c>
      <c r="DJ26" s="256" t="str">
        <f t="shared" si="42"/>
        <v/>
      </c>
      <c r="DK26" s="256" t="str">
        <f t="shared" si="42"/>
        <v/>
      </c>
      <c r="DL26" s="256" t="str">
        <f t="shared" si="42"/>
        <v/>
      </c>
      <c r="DM26" s="256" t="str">
        <f t="shared" si="42"/>
        <v/>
      </c>
      <c r="DN26" s="256" t="str">
        <f t="shared" si="42"/>
        <v/>
      </c>
      <c r="DO26" s="256" t="str">
        <f t="shared" si="42"/>
        <v/>
      </c>
      <c r="DP26" s="256" t="str">
        <f t="shared" si="42"/>
        <v/>
      </c>
      <c r="DQ26" s="256" t="str">
        <f t="shared" si="42"/>
        <v/>
      </c>
      <c r="DR26" s="256" t="str">
        <f t="shared" si="42"/>
        <v/>
      </c>
      <c r="DS26" s="256" t="str">
        <f t="shared" si="42"/>
        <v/>
      </c>
      <c r="DT26" s="256" t="str">
        <f t="shared" si="42"/>
        <v/>
      </c>
      <c r="DU26" s="256" t="str">
        <f t="shared" si="42"/>
        <v/>
      </c>
      <c r="DV26" s="256" t="str">
        <f t="shared" si="42"/>
        <v/>
      </c>
      <c r="DW26" s="256" t="str">
        <f t="shared" si="42"/>
        <v/>
      </c>
      <c r="DX26" s="256" t="str">
        <f t="shared" si="40"/>
        <v/>
      </c>
      <c r="DY26" s="256" t="str">
        <f t="shared" si="40"/>
        <v/>
      </c>
      <c r="DZ26" s="256" t="str">
        <f t="shared" si="40"/>
        <v/>
      </c>
      <c r="EA26" s="256" t="str">
        <f t="shared" si="40"/>
        <v/>
      </c>
      <c r="EB26" s="256" t="str">
        <f t="shared" si="40"/>
        <v/>
      </c>
      <c r="EC26" s="256" t="str">
        <f t="shared" si="40"/>
        <v/>
      </c>
      <c r="ED26" s="256" t="str">
        <f t="shared" si="40"/>
        <v/>
      </c>
      <c r="EE26" s="256" t="str">
        <f t="shared" si="40"/>
        <v/>
      </c>
      <c r="EF26" s="256" t="str">
        <f t="shared" si="40"/>
        <v/>
      </c>
      <c r="EG26" s="256" t="str">
        <f t="shared" si="40"/>
        <v/>
      </c>
      <c r="EH26" s="256" t="str">
        <f t="shared" si="40"/>
        <v/>
      </c>
      <c r="EI26" s="256" t="str">
        <f t="shared" si="40"/>
        <v/>
      </c>
      <c r="EJ26" s="256" t="str">
        <f t="shared" si="40"/>
        <v/>
      </c>
      <c r="EK26" s="256" t="str">
        <f t="shared" si="40"/>
        <v/>
      </c>
      <c r="EL26" s="256" t="str">
        <f t="shared" si="40"/>
        <v/>
      </c>
      <c r="EM26" s="256" t="str">
        <f t="shared" si="40"/>
        <v/>
      </c>
      <c r="EN26" s="256" t="str">
        <f t="shared" si="40"/>
        <v/>
      </c>
      <c r="EO26" s="256" t="str">
        <f t="shared" si="40"/>
        <v/>
      </c>
      <c r="EP26" s="256" t="str">
        <f t="shared" si="40"/>
        <v/>
      </c>
      <c r="EQ26" s="256" t="str">
        <f t="shared" si="40"/>
        <v/>
      </c>
      <c r="ER26" s="256" t="str">
        <f t="shared" si="40"/>
        <v/>
      </c>
      <c r="ES26" s="256" t="str">
        <f t="shared" si="40"/>
        <v/>
      </c>
      <c r="ET26" s="256" t="str">
        <f t="shared" si="40"/>
        <v/>
      </c>
      <c r="EU26" s="256" t="str">
        <f t="shared" si="40"/>
        <v/>
      </c>
      <c r="EV26" s="256" t="str">
        <f t="shared" si="40"/>
        <v/>
      </c>
      <c r="EW26" s="256" t="str">
        <f t="shared" si="40"/>
        <v/>
      </c>
      <c r="EX26" s="256" t="str">
        <f t="shared" si="40"/>
        <v/>
      </c>
      <c r="EY26" s="256" t="str">
        <f t="shared" si="40"/>
        <v/>
      </c>
      <c r="EZ26" s="256" t="str">
        <f t="shared" si="40"/>
        <v/>
      </c>
      <c r="FA26" s="256" t="str">
        <f t="shared" si="40"/>
        <v/>
      </c>
      <c r="FB26" s="256" t="str">
        <f t="shared" si="35"/>
        <v/>
      </c>
      <c r="FC26" s="256" t="str">
        <f t="shared" si="35"/>
        <v/>
      </c>
      <c r="FD26" s="256" t="str">
        <f t="shared" si="40"/>
        <v/>
      </c>
      <c r="FE26" s="256" t="str">
        <f t="shared" si="40"/>
        <v/>
      </c>
      <c r="FF26" s="256" t="str">
        <f t="shared" si="40"/>
        <v/>
      </c>
      <c r="FG26" s="256" t="str">
        <f t="shared" si="40"/>
        <v/>
      </c>
      <c r="FH26" s="256" t="str">
        <f t="shared" si="40"/>
        <v/>
      </c>
      <c r="FI26" s="256" t="str">
        <f t="shared" si="40"/>
        <v/>
      </c>
      <c r="FJ26" s="256" t="str">
        <f t="shared" si="40"/>
        <v/>
      </c>
      <c r="FK26" s="256" t="str">
        <f t="shared" si="40"/>
        <v/>
      </c>
      <c r="FL26" s="256" t="str">
        <f t="shared" si="40"/>
        <v/>
      </c>
      <c r="FM26" s="256" t="str">
        <f t="shared" si="40"/>
        <v/>
      </c>
      <c r="FN26" s="256" t="str">
        <f t="shared" si="40"/>
        <v/>
      </c>
      <c r="FO26" s="256" t="str">
        <f t="shared" si="40"/>
        <v/>
      </c>
      <c r="FP26" s="256" t="str">
        <f t="shared" si="40"/>
        <v/>
      </c>
      <c r="FQ26" s="256" t="str">
        <f t="shared" si="40"/>
        <v/>
      </c>
      <c r="FR26" s="256" t="str">
        <f t="shared" si="40"/>
        <v/>
      </c>
      <c r="FS26" s="256" t="str">
        <f t="shared" si="40"/>
        <v/>
      </c>
      <c r="FT26" s="256" t="str">
        <f t="shared" si="40"/>
        <v/>
      </c>
      <c r="FU26" s="256" t="str">
        <f t="shared" si="40"/>
        <v/>
      </c>
      <c r="FV26" s="256" t="str">
        <f t="shared" si="40"/>
        <v/>
      </c>
      <c r="FW26" s="256" t="str">
        <f t="shared" si="40"/>
        <v/>
      </c>
      <c r="FX26" s="256" t="str">
        <f t="shared" si="40"/>
        <v/>
      </c>
      <c r="FY26" s="256" t="str">
        <f t="shared" si="40"/>
        <v/>
      </c>
      <c r="FZ26" s="256" t="str">
        <f t="shared" si="40"/>
        <v/>
      </c>
      <c r="GA26" s="256" t="str">
        <f t="shared" si="40"/>
        <v/>
      </c>
      <c r="GB26" s="256" t="str">
        <f t="shared" si="40"/>
        <v/>
      </c>
      <c r="GC26" s="256" t="str">
        <f t="shared" si="40"/>
        <v/>
      </c>
      <c r="GD26" s="256" t="str">
        <f t="shared" si="40"/>
        <v/>
      </c>
      <c r="GE26" s="256" t="str">
        <f t="shared" si="40"/>
        <v/>
      </c>
      <c r="GF26" s="256" t="str">
        <f t="shared" si="40"/>
        <v/>
      </c>
      <c r="GG26" s="256" t="str">
        <f t="shared" si="40"/>
        <v/>
      </c>
      <c r="GH26" s="256" t="str">
        <f t="shared" si="40"/>
        <v/>
      </c>
      <c r="GI26" s="256" t="str">
        <f t="shared" si="41"/>
        <v/>
      </c>
      <c r="GJ26" s="256" t="str">
        <f t="shared" si="41"/>
        <v/>
      </c>
      <c r="GK26" s="256" t="str">
        <f t="shared" si="41"/>
        <v/>
      </c>
      <c r="GL26" s="256" t="str">
        <f t="shared" si="41"/>
        <v/>
      </c>
      <c r="GM26" s="256" t="str">
        <f t="shared" si="41"/>
        <v/>
      </c>
      <c r="GN26" s="256" t="str">
        <f t="shared" si="41"/>
        <v/>
      </c>
      <c r="GO26" s="256" t="str">
        <f t="shared" si="41"/>
        <v/>
      </c>
      <c r="GP26" s="256" t="str">
        <f t="shared" si="41"/>
        <v/>
      </c>
      <c r="GQ26" s="256" t="str">
        <f t="shared" si="41"/>
        <v/>
      </c>
      <c r="GR26" s="256" t="str">
        <f t="shared" si="41"/>
        <v/>
      </c>
      <c r="GS26" s="256" t="str">
        <f t="shared" si="41"/>
        <v/>
      </c>
      <c r="GT26" s="256" t="str">
        <f t="shared" si="41"/>
        <v/>
      </c>
      <c r="GU26" s="256" t="str">
        <f t="shared" si="41"/>
        <v/>
      </c>
      <c r="GV26" s="256" t="str">
        <f t="shared" si="41"/>
        <v/>
      </c>
      <c r="GW26" s="256" t="str">
        <f t="shared" si="41"/>
        <v/>
      </c>
      <c r="GX26" s="256" t="str">
        <f t="shared" si="41"/>
        <v/>
      </c>
      <c r="GY26" s="256" t="str">
        <f t="shared" si="41"/>
        <v/>
      </c>
      <c r="GZ26" s="256" t="str">
        <f t="shared" si="41"/>
        <v/>
      </c>
      <c r="HA26" s="256" t="str">
        <f t="shared" si="41"/>
        <v/>
      </c>
      <c r="HB26" s="256" t="str">
        <f t="shared" si="41"/>
        <v/>
      </c>
      <c r="HC26" s="256" t="str">
        <f t="shared" si="41"/>
        <v/>
      </c>
      <c r="HD26" s="256" t="str">
        <f t="shared" si="41"/>
        <v/>
      </c>
      <c r="HE26" s="256" t="str">
        <f t="shared" si="41"/>
        <v/>
      </c>
      <c r="HF26" s="256" t="str">
        <f t="shared" si="39"/>
        <v/>
      </c>
      <c r="HG26" s="256" t="str">
        <f t="shared" si="39"/>
        <v/>
      </c>
      <c r="HH26" s="256" t="str">
        <f t="shared" si="39"/>
        <v/>
      </c>
      <c r="HI26" s="256" t="str">
        <f t="shared" si="39"/>
        <v/>
      </c>
      <c r="HJ26" s="256" t="str">
        <f t="shared" si="39"/>
        <v/>
      </c>
    </row>
    <row r="27" spans="1:218" s="134" customFormat="1" ht="40.200000000000003" customHeight="1">
      <c r="A27" s="90"/>
      <c r="B27" s="145" t="s">
        <v>440</v>
      </c>
      <c r="C27" s="136" t="s">
        <v>441</v>
      </c>
      <c r="D27" s="144"/>
      <c r="E27" s="143">
        <v>45917</v>
      </c>
      <c r="F27" s="142">
        <v>15</v>
      </c>
      <c r="G27" s="136"/>
      <c r="H27" s="141" t="str">
        <f t="shared" si="27"/>
        <v/>
      </c>
      <c r="I27" s="141" t="str">
        <f t="shared" si="27"/>
        <v/>
      </c>
      <c r="J27" s="141" t="str">
        <f t="shared" si="27"/>
        <v/>
      </c>
      <c r="K27" s="256" t="str">
        <f t="shared" si="27"/>
        <v/>
      </c>
      <c r="L27" s="256" t="str">
        <f t="shared" si="27"/>
        <v/>
      </c>
      <c r="M27" s="141" t="str">
        <f t="shared" si="27"/>
        <v/>
      </c>
      <c r="N27" s="141" t="str">
        <f t="shared" si="27"/>
        <v/>
      </c>
      <c r="O27" s="141" t="str">
        <f t="shared" si="27"/>
        <v/>
      </c>
      <c r="P27" s="141" t="str">
        <f t="shared" si="27"/>
        <v/>
      </c>
      <c r="Q27" s="141" t="str">
        <f t="shared" si="27"/>
        <v/>
      </c>
      <c r="R27" s="141" t="str">
        <f t="shared" si="28"/>
        <v/>
      </c>
      <c r="S27" s="141" t="str">
        <f t="shared" si="28"/>
        <v/>
      </c>
      <c r="T27" s="141" t="str">
        <f t="shared" si="28"/>
        <v/>
      </c>
      <c r="U27" s="141" t="str">
        <f t="shared" si="28"/>
        <v/>
      </c>
      <c r="V27" s="141" t="str">
        <f t="shared" si="28"/>
        <v/>
      </c>
      <c r="W27" s="141" t="str">
        <f t="shared" si="28"/>
        <v/>
      </c>
      <c r="X27" s="141" t="str">
        <f t="shared" si="28"/>
        <v/>
      </c>
      <c r="Y27" s="141" t="str">
        <f t="shared" si="28"/>
        <v/>
      </c>
      <c r="Z27" s="141" t="str">
        <f t="shared" si="28"/>
        <v/>
      </c>
      <c r="AA27" s="141" t="str">
        <f t="shared" si="28"/>
        <v/>
      </c>
      <c r="AB27" s="141" t="str">
        <f t="shared" si="29"/>
        <v/>
      </c>
      <c r="AC27" s="141" t="str">
        <f t="shared" si="29"/>
        <v/>
      </c>
      <c r="AD27" s="141" t="str">
        <f t="shared" si="29"/>
        <v/>
      </c>
      <c r="AE27" s="141" t="str">
        <f t="shared" si="29"/>
        <v/>
      </c>
      <c r="AF27" s="141" t="str">
        <f t="shared" si="29"/>
        <v/>
      </c>
      <c r="AG27" s="141" t="str">
        <f t="shared" si="29"/>
        <v/>
      </c>
      <c r="AH27" s="141" t="str">
        <f t="shared" si="29"/>
        <v/>
      </c>
      <c r="AI27" s="141" t="str">
        <f t="shared" si="29"/>
        <v/>
      </c>
      <c r="AJ27" s="141" t="str">
        <f t="shared" si="29"/>
        <v/>
      </c>
      <c r="AK27" s="141" t="str">
        <f t="shared" si="29"/>
        <v/>
      </c>
      <c r="AL27" s="141" t="str">
        <f t="shared" si="30"/>
        <v/>
      </c>
      <c r="AM27" s="141" t="str">
        <f t="shared" si="30"/>
        <v/>
      </c>
      <c r="AN27" s="141" t="str">
        <f t="shared" si="30"/>
        <v/>
      </c>
      <c r="AO27" s="141" t="str">
        <f t="shared" si="30"/>
        <v/>
      </c>
      <c r="AP27" s="141" t="str">
        <f t="shared" si="30"/>
        <v/>
      </c>
      <c r="AQ27" s="141" t="str">
        <f t="shared" si="30"/>
        <v/>
      </c>
      <c r="AR27" s="141" t="str">
        <f t="shared" si="30"/>
        <v/>
      </c>
      <c r="AS27" s="141" t="str">
        <f t="shared" si="30"/>
        <v/>
      </c>
      <c r="AT27" s="141" t="str">
        <f t="shared" si="30"/>
        <v/>
      </c>
      <c r="AU27" s="141" t="str">
        <f t="shared" si="30"/>
        <v/>
      </c>
      <c r="AV27" s="141" t="str">
        <f t="shared" si="31"/>
        <v/>
      </c>
      <c r="AW27" s="141" t="str">
        <f t="shared" si="31"/>
        <v/>
      </c>
      <c r="AX27" s="141" t="str">
        <f t="shared" si="31"/>
        <v/>
      </c>
      <c r="AY27" s="141" t="str">
        <f t="shared" si="31"/>
        <v/>
      </c>
      <c r="AZ27" s="141" t="str">
        <f t="shared" si="31"/>
        <v/>
      </c>
      <c r="BA27" s="141" t="str">
        <f t="shared" si="31"/>
        <v/>
      </c>
      <c r="BB27" s="141" t="str">
        <f t="shared" si="31"/>
        <v/>
      </c>
      <c r="BC27" s="141" t="str">
        <f t="shared" si="31"/>
        <v/>
      </c>
      <c r="BD27" s="141" t="str">
        <f t="shared" si="31"/>
        <v/>
      </c>
      <c r="BE27" s="141" t="str">
        <f t="shared" si="31"/>
        <v/>
      </c>
      <c r="BF27" s="141" t="str">
        <f t="shared" si="32"/>
        <v/>
      </c>
      <c r="BG27" s="141" t="str">
        <f t="shared" si="32"/>
        <v/>
      </c>
      <c r="BH27" s="141" t="str">
        <f t="shared" si="32"/>
        <v/>
      </c>
      <c r="BI27" s="141" t="str">
        <f t="shared" si="32"/>
        <v/>
      </c>
      <c r="BJ27" s="256" t="str">
        <f t="shared" si="32"/>
        <v/>
      </c>
      <c r="BK27" s="256" t="str">
        <f t="shared" si="32"/>
        <v/>
      </c>
      <c r="BL27" s="256" t="str">
        <f t="shared" si="42"/>
        <v/>
      </c>
      <c r="BM27" s="256" t="str">
        <f t="shared" si="42"/>
        <v/>
      </c>
      <c r="BN27" s="256" t="str">
        <f t="shared" si="42"/>
        <v/>
      </c>
      <c r="BO27" s="256" t="str">
        <f t="shared" si="42"/>
        <v/>
      </c>
      <c r="BP27" s="256" t="str">
        <f t="shared" si="42"/>
        <v/>
      </c>
      <c r="BQ27" s="256" t="str">
        <f t="shared" si="42"/>
        <v/>
      </c>
      <c r="BR27" s="256" t="str">
        <f t="shared" si="42"/>
        <v/>
      </c>
      <c r="BS27" s="256" t="str">
        <f t="shared" si="42"/>
        <v/>
      </c>
      <c r="BT27" s="256" t="str">
        <f t="shared" si="42"/>
        <v/>
      </c>
      <c r="BU27" s="256" t="str">
        <f t="shared" si="42"/>
        <v/>
      </c>
      <c r="BV27" s="256" t="str">
        <f t="shared" si="42"/>
        <v/>
      </c>
      <c r="BW27" s="256" t="str">
        <f t="shared" si="42"/>
        <v/>
      </c>
      <c r="BX27" s="256" t="str">
        <f t="shared" si="42"/>
        <v/>
      </c>
      <c r="BY27" s="256" t="str">
        <f t="shared" si="42"/>
        <v/>
      </c>
      <c r="BZ27" s="256" t="str">
        <f t="shared" si="42"/>
        <v/>
      </c>
      <c r="CA27" s="256" t="str">
        <f t="shared" si="42"/>
        <v/>
      </c>
      <c r="CB27" s="256" t="str">
        <f t="shared" si="42"/>
        <v/>
      </c>
      <c r="CC27" s="256" t="str">
        <f t="shared" si="42"/>
        <v/>
      </c>
      <c r="CD27" s="256" t="str">
        <f t="shared" si="42"/>
        <v/>
      </c>
      <c r="CE27" s="256" t="str">
        <f t="shared" si="42"/>
        <v/>
      </c>
      <c r="CF27" s="256" t="str">
        <f t="shared" si="42"/>
        <v/>
      </c>
      <c r="CG27" s="256" t="str">
        <f t="shared" si="42"/>
        <v/>
      </c>
      <c r="CH27" s="256" t="str">
        <f t="shared" si="42"/>
        <v/>
      </c>
      <c r="CI27" s="256" t="str">
        <f t="shared" si="42"/>
        <v/>
      </c>
      <c r="CJ27" s="256" t="str">
        <f t="shared" si="42"/>
        <v/>
      </c>
      <c r="CK27" s="256" t="str">
        <f t="shared" si="42"/>
        <v/>
      </c>
      <c r="CL27" s="256" t="str">
        <f t="shared" si="42"/>
        <v/>
      </c>
      <c r="CM27" s="256" t="str">
        <f t="shared" si="42"/>
        <v/>
      </c>
      <c r="CN27" s="256" t="str">
        <f t="shared" si="42"/>
        <v/>
      </c>
      <c r="CO27" s="256" t="str">
        <f t="shared" si="42"/>
        <v/>
      </c>
      <c r="CP27" s="256" t="str">
        <f t="shared" si="42"/>
        <v/>
      </c>
      <c r="CQ27" s="256" t="str">
        <f t="shared" si="42"/>
        <v/>
      </c>
      <c r="CR27" s="256" t="str">
        <f t="shared" si="42"/>
        <v/>
      </c>
      <c r="CS27" s="256" t="str">
        <f t="shared" si="42"/>
        <v/>
      </c>
      <c r="CT27" s="256" t="str">
        <f t="shared" si="42"/>
        <v/>
      </c>
      <c r="CU27" s="256" t="str">
        <f t="shared" si="42"/>
        <v/>
      </c>
      <c r="CV27" s="256" t="str">
        <f t="shared" si="42"/>
        <v/>
      </c>
      <c r="CW27" s="256" t="str">
        <f t="shared" si="42"/>
        <v/>
      </c>
      <c r="CX27" s="256" t="str">
        <f t="shared" si="42"/>
        <v/>
      </c>
      <c r="CY27" s="256" t="str">
        <f t="shared" si="42"/>
        <v/>
      </c>
      <c r="CZ27" s="256" t="str">
        <f t="shared" si="42"/>
        <v/>
      </c>
      <c r="DA27" s="256" t="str">
        <f t="shared" si="42"/>
        <v/>
      </c>
      <c r="DB27" s="256" t="str">
        <f t="shared" si="42"/>
        <v/>
      </c>
      <c r="DC27" s="256" t="str">
        <f t="shared" si="42"/>
        <v/>
      </c>
      <c r="DD27" s="256" t="str">
        <f t="shared" si="42"/>
        <v/>
      </c>
      <c r="DE27" s="256" t="str">
        <f t="shared" si="42"/>
        <v/>
      </c>
      <c r="DF27" s="256" t="str">
        <f t="shared" si="42"/>
        <v/>
      </c>
      <c r="DG27" s="256" t="str">
        <f t="shared" si="42"/>
        <v/>
      </c>
      <c r="DH27" s="256" t="str">
        <f t="shared" si="42"/>
        <v/>
      </c>
      <c r="DI27" s="256" t="str">
        <f t="shared" si="42"/>
        <v/>
      </c>
      <c r="DJ27" s="256" t="str">
        <f t="shared" si="42"/>
        <v/>
      </c>
      <c r="DK27" s="256" t="str">
        <f t="shared" si="42"/>
        <v/>
      </c>
      <c r="DL27" s="256" t="str">
        <f t="shared" si="42"/>
        <v/>
      </c>
      <c r="DM27" s="256" t="str">
        <f t="shared" si="42"/>
        <v/>
      </c>
      <c r="DN27" s="256" t="str">
        <f t="shared" si="42"/>
        <v/>
      </c>
      <c r="DO27" s="256" t="str">
        <f t="shared" si="42"/>
        <v/>
      </c>
      <c r="DP27" s="256" t="str">
        <f t="shared" si="42"/>
        <v/>
      </c>
      <c r="DQ27" s="256" t="str">
        <f t="shared" si="42"/>
        <v/>
      </c>
      <c r="DR27" s="256" t="str">
        <f t="shared" si="42"/>
        <v/>
      </c>
      <c r="DS27" s="256" t="str">
        <f t="shared" si="42"/>
        <v/>
      </c>
      <c r="DT27" s="256" t="str">
        <f t="shared" si="42"/>
        <v/>
      </c>
      <c r="DU27" s="256" t="str">
        <f t="shared" si="42"/>
        <v/>
      </c>
      <c r="DV27" s="256" t="str">
        <f t="shared" si="42"/>
        <v/>
      </c>
      <c r="DW27" s="256" t="str">
        <f t="shared" si="42"/>
        <v/>
      </c>
      <c r="DX27" s="256" t="str">
        <f t="shared" si="40"/>
        <v/>
      </c>
      <c r="DY27" s="256" t="str">
        <f t="shared" si="40"/>
        <v/>
      </c>
      <c r="DZ27" s="256" t="str">
        <f t="shared" si="40"/>
        <v/>
      </c>
      <c r="EA27" s="256" t="str">
        <f t="shared" si="40"/>
        <v/>
      </c>
      <c r="EB27" s="256" t="str">
        <f t="shared" si="40"/>
        <v/>
      </c>
      <c r="EC27" s="256" t="str">
        <f t="shared" si="40"/>
        <v/>
      </c>
      <c r="ED27" s="256" t="str">
        <f t="shared" si="40"/>
        <v/>
      </c>
      <c r="EE27" s="256" t="str">
        <f t="shared" si="40"/>
        <v/>
      </c>
      <c r="EF27" s="256" t="str">
        <f t="shared" si="40"/>
        <v/>
      </c>
      <c r="EG27" s="256" t="str">
        <f t="shared" si="40"/>
        <v/>
      </c>
      <c r="EH27" s="256" t="str">
        <f t="shared" si="40"/>
        <v/>
      </c>
      <c r="EI27" s="256" t="str">
        <f t="shared" si="40"/>
        <v/>
      </c>
      <c r="EJ27" s="256" t="str">
        <f t="shared" si="40"/>
        <v/>
      </c>
      <c r="EK27" s="256" t="str">
        <f t="shared" si="40"/>
        <v/>
      </c>
      <c r="EL27" s="256" t="str">
        <f t="shared" si="40"/>
        <v/>
      </c>
      <c r="EM27" s="256" t="str">
        <f t="shared" si="40"/>
        <v/>
      </c>
      <c r="EN27" s="256" t="str">
        <f t="shared" si="40"/>
        <v/>
      </c>
      <c r="EO27" s="256" t="str">
        <f t="shared" si="40"/>
        <v/>
      </c>
      <c r="EP27" s="256" t="str">
        <f t="shared" si="40"/>
        <v/>
      </c>
      <c r="EQ27" s="256" t="str">
        <f t="shared" si="40"/>
        <v/>
      </c>
      <c r="ER27" s="256" t="str">
        <f t="shared" si="40"/>
        <v/>
      </c>
      <c r="ES27" s="256" t="str">
        <f t="shared" si="40"/>
        <v/>
      </c>
      <c r="ET27" s="256" t="str">
        <f t="shared" si="40"/>
        <v/>
      </c>
      <c r="EU27" s="256" t="str">
        <f t="shared" si="40"/>
        <v/>
      </c>
      <c r="EV27" s="256" t="str">
        <f t="shared" si="40"/>
        <v/>
      </c>
      <c r="EW27" s="256" t="str">
        <f t="shared" si="40"/>
        <v/>
      </c>
      <c r="EX27" s="256" t="str">
        <f t="shared" si="40"/>
        <v/>
      </c>
      <c r="EY27" s="256" t="str">
        <f t="shared" si="40"/>
        <v/>
      </c>
      <c r="EZ27" s="256" t="str">
        <f t="shared" si="40"/>
        <v/>
      </c>
      <c r="FA27" s="256" t="str">
        <f t="shared" si="40"/>
        <v/>
      </c>
      <c r="FB27" s="256" t="str">
        <f t="shared" si="35"/>
        <v/>
      </c>
      <c r="FC27" s="256" t="str">
        <f t="shared" si="35"/>
        <v/>
      </c>
      <c r="FD27" s="256" t="str">
        <f t="shared" si="40"/>
        <v/>
      </c>
      <c r="FE27" s="256" t="str">
        <f t="shared" si="40"/>
        <v/>
      </c>
      <c r="FF27" s="256" t="str">
        <f t="shared" si="40"/>
        <v/>
      </c>
      <c r="FG27" s="256" t="str">
        <f t="shared" si="40"/>
        <v/>
      </c>
      <c r="FH27" s="256" t="str">
        <f t="shared" si="40"/>
        <v/>
      </c>
      <c r="FI27" s="256" t="str">
        <f t="shared" si="40"/>
        <v/>
      </c>
      <c r="FJ27" s="256" t="str">
        <f t="shared" si="40"/>
        <v/>
      </c>
      <c r="FK27" s="256" t="str">
        <f t="shared" si="40"/>
        <v/>
      </c>
      <c r="FL27" s="256" t="str">
        <f t="shared" si="40"/>
        <v/>
      </c>
      <c r="FM27" s="256" t="str">
        <f t="shared" si="40"/>
        <v/>
      </c>
      <c r="FN27" s="256" t="str">
        <f t="shared" si="40"/>
        <v/>
      </c>
      <c r="FO27" s="256" t="str">
        <f t="shared" si="40"/>
        <v/>
      </c>
      <c r="FP27" s="256" t="str">
        <f t="shared" si="40"/>
        <v/>
      </c>
      <c r="FQ27" s="256" t="str">
        <f t="shared" si="40"/>
        <v/>
      </c>
      <c r="FR27" s="256" t="str">
        <f t="shared" si="40"/>
        <v/>
      </c>
      <c r="FS27" s="256" t="str">
        <f t="shared" si="40"/>
        <v/>
      </c>
      <c r="FT27" s="256" t="str">
        <f t="shared" si="40"/>
        <v/>
      </c>
      <c r="FU27" s="256" t="str">
        <f t="shared" si="40"/>
        <v/>
      </c>
      <c r="FV27" s="256" t="str">
        <f t="shared" si="40"/>
        <v/>
      </c>
      <c r="FW27" s="256" t="str">
        <f t="shared" si="40"/>
        <v/>
      </c>
      <c r="FX27" s="256" t="str">
        <f t="shared" si="40"/>
        <v/>
      </c>
      <c r="FY27" s="256" t="str">
        <f t="shared" si="40"/>
        <v/>
      </c>
      <c r="FZ27" s="256" t="str">
        <f t="shared" si="40"/>
        <v/>
      </c>
      <c r="GA27" s="256" t="str">
        <f t="shared" si="40"/>
        <v/>
      </c>
      <c r="GB27" s="256" t="str">
        <f t="shared" si="40"/>
        <v/>
      </c>
      <c r="GC27" s="256" t="str">
        <f t="shared" si="40"/>
        <v/>
      </c>
      <c r="GD27" s="256" t="str">
        <f t="shared" si="40"/>
        <v/>
      </c>
      <c r="GE27" s="256" t="str">
        <f t="shared" si="40"/>
        <v/>
      </c>
      <c r="GF27" s="256" t="str">
        <f t="shared" si="40"/>
        <v/>
      </c>
      <c r="GG27" s="256" t="str">
        <f t="shared" si="40"/>
        <v/>
      </c>
      <c r="GH27" s="256" t="str">
        <f t="shared" si="40"/>
        <v/>
      </c>
      <c r="GI27" s="256" t="str">
        <f t="shared" si="41"/>
        <v/>
      </c>
      <c r="GJ27" s="256" t="str">
        <f t="shared" si="41"/>
        <v/>
      </c>
      <c r="GK27" s="256" t="str">
        <f t="shared" si="41"/>
        <v/>
      </c>
      <c r="GL27" s="256" t="str">
        <f t="shared" si="41"/>
        <v/>
      </c>
      <c r="GM27" s="256" t="str">
        <f t="shared" si="41"/>
        <v/>
      </c>
      <c r="GN27" s="256" t="str">
        <f t="shared" si="41"/>
        <v/>
      </c>
      <c r="GO27" s="256" t="str">
        <f t="shared" si="41"/>
        <v/>
      </c>
      <c r="GP27" s="256" t="str">
        <f t="shared" si="41"/>
        <v/>
      </c>
      <c r="GQ27" s="256" t="str">
        <f t="shared" si="41"/>
        <v/>
      </c>
      <c r="GR27" s="256" t="str">
        <f t="shared" si="41"/>
        <v/>
      </c>
      <c r="GS27" s="256" t="str">
        <f t="shared" si="41"/>
        <v/>
      </c>
      <c r="GT27" s="256" t="str">
        <f t="shared" si="41"/>
        <v/>
      </c>
      <c r="GU27" s="256" t="str">
        <f t="shared" si="41"/>
        <v/>
      </c>
      <c r="GV27" s="256" t="str">
        <f t="shared" si="41"/>
        <v/>
      </c>
      <c r="GW27" s="256" t="str">
        <f t="shared" si="41"/>
        <v/>
      </c>
      <c r="GX27" s="256" t="str">
        <f t="shared" si="41"/>
        <v/>
      </c>
      <c r="GY27" s="256" t="str">
        <f t="shared" si="41"/>
        <v/>
      </c>
      <c r="GZ27" s="256" t="str">
        <f t="shared" si="41"/>
        <v/>
      </c>
      <c r="HA27" s="256" t="str">
        <f t="shared" si="41"/>
        <v/>
      </c>
      <c r="HB27" s="256" t="str">
        <f t="shared" si="41"/>
        <v/>
      </c>
      <c r="HC27" s="256" t="str">
        <f t="shared" si="41"/>
        <v/>
      </c>
      <c r="HD27" s="256" t="str">
        <f t="shared" si="41"/>
        <v/>
      </c>
      <c r="HE27" s="256" t="str">
        <f t="shared" si="41"/>
        <v/>
      </c>
      <c r="HF27" s="256" t="str">
        <f t="shared" si="39"/>
        <v/>
      </c>
      <c r="HG27" s="256" t="str">
        <f t="shared" si="39"/>
        <v/>
      </c>
      <c r="HH27" s="256" t="str">
        <f t="shared" si="39"/>
        <v/>
      </c>
      <c r="HI27" s="256" t="str">
        <f t="shared" si="39"/>
        <v/>
      </c>
      <c r="HJ27" s="256" t="str">
        <f t="shared" si="39"/>
        <v/>
      </c>
    </row>
    <row r="28" spans="1:218" s="134" customFormat="1" ht="40.200000000000003" customHeight="1">
      <c r="A28" s="90"/>
      <c r="B28" s="258" t="s">
        <v>436</v>
      </c>
      <c r="C28" s="136" t="s">
        <v>432</v>
      </c>
      <c r="D28" s="144"/>
      <c r="E28" s="103"/>
      <c r="F28" s="142"/>
      <c r="G28" s="136"/>
      <c r="H28" s="135"/>
      <c r="I28" s="135"/>
      <c r="J28" s="135"/>
      <c r="K28" s="259"/>
      <c r="L28" s="259"/>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row>
    <row r="29" spans="1:218" s="134" customFormat="1" ht="40.200000000000003" customHeight="1">
      <c r="A29" s="90"/>
      <c r="B29" s="183" t="s">
        <v>437</v>
      </c>
      <c r="C29" s="136" t="s">
        <v>432</v>
      </c>
      <c r="D29" s="144"/>
      <c r="E29" s="103"/>
      <c r="F29" s="142"/>
      <c r="G29" s="136"/>
      <c r="H29" s="135"/>
      <c r="I29" s="135"/>
      <c r="J29" s="135"/>
      <c r="K29" s="259"/>
      <c r="L29" s="259"/>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row>
    <row r="30" spans="1:218" s="134" customFormat="1" ht="40.200000000000003" customHeight="1">
      <c r="A30" s="100"/>
      <c r="B30" s="140" t="s">
        <v>442</v>
      </c>
      <c r="C30" s="136" t="s">
        <v>432</v>
      </c>
      <c r="D30" s="139"/>
      <c r="E30" s="138"/>
      <c r="F30" s="137"/>
      <c r="G30" s="136"/>
      <c r="H30" s="135"/>
      <c r="I30" s="135"/>
      <c r="J30" s="135"/>
      <c r="K30" s="259"/>
      <c r="L30" s="259"/>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row>
    <row r="31" spans="1:218" ht="30" customHeight="1">
      <c r="F31" s="133"/>
      <c r="G31" s="132"/>
      <c r="K31" s="253"/>
      <c r="L31" s="253"/>
    </row>
  </sheetData>
  <mergeCells count="8">
    <mergeCell ref="W4:Z4"/>
    <mergeCell ref="AB4:AE4"/>
    <mergeCell ref="B2:G2"/>
    <mergeCell ref="H2:M2"/>
    <mergeCell ref="N2:S2"/>
    <mergeCell ref="M4:P4"/>
    <mergeCell ref="R4:U4"/>
    <mergeCell ref="H4:K4"/>
  </mergeCells>
  <conditionalFormatting sqref="D9:D30">
    <cfRule type="dataBar" priority="15">
      <dataBar>
        <cfvo type="num" val="0"/>
        <cfvo type="num" val="1"/>
        <color theme="0" tint="-0.34998626667073579"/>
      </dataBar>
      <extLst>
        <ext xmlns:x14="http://schemas.microsoft.com/office/spreadsheetml/2009/9/main" uri="{B025F937-C7B1-47D3-B67F-A62EFF666E3E}">
          <x14:id>{49EA9A8C-707B-4D79-98A1-964F9B8760C9}</x14:id>
        </ext>
      </extLst>
    </cfRule>
  </conditionalFormatting>
  <conditionalFormatting sqref="H28:BJ30 M7:HH7 H7:BJ8 BK8:HI8 H9:HI9 H10:BJ10 H11:HH27">
    <cfRule type="expression" dxfId="21" priority="164">
      <formula>AND(TODAY()&gt;=H$8,TODAY()&lt;I$8)</formula>
    </cfRule>
  </conditionalFormatting>
  <conditionalFormatting sqref="H30:BK30">
    <cfRule type="expression" dxfId="20" priority="23" stopIfTrue="1">
      <formula>AND(#REF!="Low Risk",H$8&gt;=#REF!,H$8&lt;=#REF!+#REF!-1)</formula>
    </cfRule>
    <cfRule type="expression" dxfId="19" priority="24" stopIfTrue="1">
      <formula>AND(#REF!="High Risk",H$8&gt;=#REF!,H$8&lt;=#REF!+#REF!-1)</formula>
    </cfRule>
    <cfRule type="expression" dxfId="18" priority="25" stopIfTrue="1">
      <formula>AND(#REF!="On Track",H$8&gt;=#REF!,H$8&lt;=#REF!+#REF!-1)</formula>
    </cfRule>
    <cfRule type="expression" dxfId="17" priority="26" stopIfTrue="1">
      <formula>AND(#REF!="Med Risk",H$8&gt;=#REF!,H$8&lt;=#REF!+#REF!-1)</formula>
    </cfRule>
    <cfRule type="expression" dxfId="16" priority="27" stopIfTrue="1">
      <formula>AND(LEN(#REF!)=0,H$8&gt;=#REF!,H$8&lt;=#REF!+#REF!-1)</formula>
    </cfRule>
  </conditionalFormatting>
  <conditionalFormatting sqref="H10:HI27 H28:BK29 HJ11:HJ27">
    <cfRule type="expression" dxfId="15" priority="170" stopIfTrue="1">
      <formula>AND($C10="Low Risk",H$8&gt;=$E10,H$8&lt;=$E10+$F10-1)</formula>
    </cfRule>
  </conditionalFormatting>
  <conditionalFormatting sqref="H10:HI27 HJ11:HJ27 H28:BK29">
    <cfRule type="expression" dxfId="14" priority="171" stopIfTrue="1">
      <formula>AND($C10="High Risk",H$8&gt;=$E10,H$8&lt;=$E10+$F10-1)</formula>
    </cfRule>
    <cfRule type="expression" dxfId="13" priority="172" stopIfTrue="1">
      <formula>AND($C10="On Track",H$8&gt;=$E10,H$8&lt;=$E10+$F10-1)</formula>
    </cfRule>
    <cfRule type="expression" dxfId="12" priority="173" stopIfTrue="1">
      <formula>AND($C10="Med Risk",H$8&gt;=$E10,H$8&lt;=$E10+$F10-1)</formula>
    </cfRule>
    <cfRule type="expression" dxfId="11" priority="174" stopIfTrue="1">
      <formula>AND(LEN($C10)=0,H$8&gt;=$E10,H$8&lt;=$E10+$F10-1)</formula>
    </cfRule>
  </conditionalFormatting>
  <conditionalFormatting sqref="H6:HJ7">
    <cfRule type="expression" dxfId="10" priority="12">
      <formula>AND(H$8&lt;=EOMONTH($H$8,1),H$8&gt;EOMONTH($H$8,0))</formula>
    </cfRule>
  </conditionalFormatting>
  <conditionalFormatting sqref="I6:HI6 HJ6:HJ7 I7:FZ7 GB7:HI7">
    <cfRule type="expression" dxfId="9" priority="13">
      <formula>AND(I$8&lt;=EOMONTH($H$8,2),I$8&gt;EOMONTH($H$8,0),I$8&gt;EOMONTH($H$8,1))</formula>
    </cfRule>
  </conditionalFormatting>
  <conditionalFormatting sqref="AL6:HI6 H6:AL7 HJ6:HJ7 M7:HI7">
    <cfRule type="expression" dxfId="8" priority="14">
      <formula>H$8&lt;=EOMONTH($H$8,0)</formula>
    </cfRule>
  </conditionalFormatting>
  <conditionalFormatting sqref="AM7:BY7">
    <cfRule type="expression" dxfId="7" priority="5">
      <formula>AM$8&lt;=EOMONTH($H$8,0)</formula>
    </cfRule>
  </conditionalFormatting>
  <conditionalFormatting sqref="BK28:BK30 BK10:HH10">
    <cfRule type="expression" dxfId="6" priority="163">
      <formula>AND(TODAY()&gt;=BK$8,TODAY()&lt;BL$7)</formula>
    </cfRule>
  </conditionalFormatting>
  <conditionalFormatting sqref="BK7:FZ7">
    <cfRule type="expression" dxfId="5" priority="10">
      <formula>AND(TODAY()&gt;=BK$8,TODAY()&lt;BL$8)</formula>
    </cfRule>
  </conditionalFormatting>
  <conditionalFormatting sqref="DE7:DH7">
    <cfRule type="expression" dxfId="4" priority="4">
      <formula>DE$8&lt;=EOMONTH($H$8,0)</formula>
    </cfRule>
  </conditionalFormatting>
  <conditionalFormatting sqref="EN7:EQ7">
    <cfRule type="expression" dxfId="3" priority="3">
      <formula>EN$8&lt;=EOMONTH($H$8,0)</formula>
    </cfRule>
  </conditionalFormatting>
  <conditionalFormatting sqref="FW7:FZ7">
    <cfRule type="expression" dxfId="2" priority="2">
      <formula>FW$8&lt;=EOMONTH($H$8,0)</formula>
    </cfRule>
  </conditionalFormatting>
  <conditionalFormatting sqref="HF7:HJ7">
    <cfRule type="expression" dxfId="1" priority="1">
      <formula>HF$8&lt;=EOMONTH($H$8,0)</formula>
    </cfRule>
  </conditionalFormatting>
  <conditionalFormatting sqref="HI10:HI27 HJ11:HJ27 HI7:HJ7 HJ8:HJ9">
    <cfRule type="expression" dxfId="0" priority="176">
      <formula>AND(TODAY()&gt;=HI$8,TODAY()&lt;#REF!)</formula>
    </cfRule>
  </conditionalFormatting>
  <dataValidations count="12">
    <dataValidation allowBlank="1" showInputMessage="1" showErrorMessage="1" prompt="This is an empty row" sqref="A27:A29" xr:uid="{60F6BB2A-523D-41BA-B324-85E19FB9FF7E}"/>
    <dataValidation allowBlank="1" showInputMessage="1" showErrorMessage="1" prompt="This row marks the end of the Gantt milestone data. DO NOT enter anything in this row. _x000a_To add more items, insert new rows above this one._x000a_" sqref="A30" xr:uid="{659FD5CB-B62B-4854-B8A9-29F1F70930AC}"/>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type="list" allowBlank="1" showInputMessage="1" showErrorMessage="1" sqref="C10 C31" xr:uid="{12A8278F-D51D-4B98-A311-DB5FCD18D214}">
      <formula1>"Goal,Milestone,On Track, Low Risk, Med Risk, High Risk"</formula1>
    </dataValidation>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1:C30" xr:uid="{4B41DD70-8B80-4D55-A3EE-AF1D93E318B3}">
      <formula1>"On Track, Low Risk, Med Risk, High Risk"</formula1>
    </dataValidation>
  </dataValidations>
  <printOptions horizontalCentered="1"/>
  <pageMargins left="0.25" right="0.25" top="0.5" bottom="0.5" header="0.3" footer="0.3"/>
  <pageSetup scale="46"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9EA9A8C-707B-4D79-98A1-964F9B8760C9}">
            <x14:dataBar minLength="0" maxLength="100" gradient="0">
              <x14:cfvo type="num">
                <xm:f>0</xm:f>
              </x14:cfvo>
              <x14:cfvo type="num">
                <xm:f>1</xm:f>
              </x14:cfvo>
              <x14:negativeFillColor rgb="FFFF0000"/>
              <x14:axisColor rgb="FF000000"/>
            </x14:dataBar>
          </x14:cfRule>
          <xm:sqref>D9:D30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396D-C9FE-45B5-BC63-EC69421F0087}">
  <sheetPr>
    <tabColor rgb="FFFA4616"/>
  </sheetPr>
  <dimension ref="A1:M40"/>
  <sheetViews>
    <sheetView workbookViewId="0">
      <selection activeCell="J29" sqref="J29"/>
    </sheetView>
  </sheetViews>
  <sheetFormatPr defaultColWidth="5.69921875" defaultRowHeight="15.6"/>
  <cols>
    <col min="1" max="1" width="5.59765625" style="186" bestFit="1" customWidth="1"/>
    <col min="2" max="2" width="11.5" style="186" bestFit="1" customWidth="1"/>
    <col min="3" max="3" width="9.59765625" style="186" bestFit="1" customWidth="1"/>
    <col min="4" max="4" width="6.09765625" style="186" bestFit="1" customWidth="1"/>
    <col min="5" max="5" width="17.09765625" style="186" bestFit="1" customWidth="1"/>
    <col min="6" max="6" width="7.69921875" style="186" bestFit="1" customWidth="1"/>
    <col min="7" max="7" width="13.19921875" style="186" bestFit="1" customWidth="1"/>
    <col min="8" max="8" width="10.69921875" style="186" bestFit="1" customWidth="1"/>
    <col min="9" max="9" width="9.59765625" style="186" bestFit="1" customWidth="1"/>
    <col min="10" max="10" width="19.19921875" style="186" bestFit="1" customWidth="1"/>
    <col min="11" max="11" width="14.59765625" style="186" bestFit="1" customWidth="1"/>
    <col min="12" max="12" width="11.59765625" style="186" bestFit="1" customWidth="1"/>
    <col min="13" max="13" width="10" style="186" bestFit="1" customWidth="1"/>
    <col min="14" max="16384" width="5.69921875" style="186"/>
  </cols>
  <sheetData>
    <row r="1" spans="1:13" ht="18" customHeight="1" thickBot="1">
      <c r="A1" s="345" t="s">
        <v>443</v>
      </c>
      <c r="B1" s="345"/>
      <c r="C1" s="345"/>
      <c r="D1" s="345"/>
      <c r="E1" s="345"/>
      <c r="F1" s="345"/>
      <c r="G1" s="346" t="s">
        <v>444</v>
      </c>
      <c r="H1" s="347"/>
      <c r="I1" s="190" t="s">
        <v>445</v>
      </c>
      <c r="J1" s="191" t="s">
        <v>446</v>
      </c>
      <c r="K1" s="190" t="s">
        <v>447</v>
      </c>
      <c r="L1" s="188"/>
      <c r="M1" s="184"/>
    </row>
    <row r="2" spans="1:13">
      <c r="A2" s="185" t="s">
        <v>448</v>
      </c>
      <c r="B2" s="185" t="s">
        <v>298</v>
      </c>
      <c r="C2" s="185" t="s">
        <v>449</v>
      </c>
      <c r="D2" s="185" t="s">
        <v>450</v>
      </c>
      <c r="E2" s="185" t="s">
        <v>451</v>
      </c>
      <c r="F2" s="185" t="s">
        <v>452</v>
      </c>
      <c r="G2" s="189" t="s">
        <v>453</v>
      </c>
      <c r="H2" s="189" t="s">
        <v>454</v>
      </c>
      <c r="I2" s="189" t="s">
        <v>455</v>
      </c>
      <c r="J2" s="189" t="s">
        <v>456</v>
      </c>
      <c r="K2" s="189" t="s">
        <v>457</v>
      </c>
      <c r="L2" s="185" t="s">
        <v>458</v>
      </c>
      <c r="M2" s="185" t="s">
        <v>459</v>
      </c>
    </row>
    <row r="3" spans="1:13">
      <c r="A3" s="186">
        <v>1</v>
      </c>
    </row>
    <row r="4" spans="1:13">
      <c r="A4" s="186">
        <v>2</v>
      </c>
    </row>
    <row r="5" spans="1:13">
      <c r="A5" s="186">
        <v>3</v>
      </c>
    </row>
    <row r="6" spans="1:13">
      <c r="A6" s="186">
        <v>4</v>
      </c>
    </row>
    <row r="7" spans="1:13">
      <c r="A7" s="186">
        <v>5</v>
      </c>
    </row>
    <row r="8" spans="1:13">
      <c r="A8" s="186">
        <v>6</v>
      </c>
    </row>
    <row r="9" spans="1:13">
      <c r="A9" s="186">
        <v>7</v>
      </c>
    </row>
    <row r="10" spans="1:13">
      <c r="A10" s="186">
        <v>8</v>
      </c>
    </row>
    <row r="11" spans="1:13">
      <c r="A11" s="186">
        <v>9</v>
      </c>
    </row>
    <row r="12" spans="1:13">
      <c r="A12" s="186">
        <v>10</v>
      </c>
    </row>
    <row r="13" spans="1:13">
      <c r="A13" s="186">
        <v>11</v>
      </c>
    </row>
    <row r="14" spans="1:13">
      <c r="A14" s="186">
        <v>12</v>
      </c>
    </row>
    <row r="15" spans="1:13">
      <c r="A15" s="186">
        <v>13</v>
      </c>
    </row>
    <row r="16" spans="1:13">
      <c r="A16" s="186">
        <v>14</v>
      </c>
    </row>
    <row r="17" spans="1:1">
      <c r="A17" s="186">
        <v>15</v>
      </c>
    </row>
    <row r="18" spans="1:1">
      <c r="A18" s="186">
        <v>16</v>
      </c>
    </row>
    <row r="19" spans="1:1">
      <c r="A19" s="186">
        <v>17</v>
      </c>
    </row>
    <row r="20" spans="1:1">
      <c r="A20" s="186">
        <v>18</v>
      </c>
    </row>
    <row r="21" spans="1:1">
      <c r="A21" s="186">
        <v>19</v>
      </c>
    </row>
    <row r="22" spans="1:1">
      <c r="A22" s="186">
        <v>20</v>
      </c>
    </row>
    <row r="23" spans="1:1">
      <c r="A23" s="186">
        <v>21</v>
      </c>
    </row>
    <row r="24" spans="1:1">
      <c r="A24" s="186">
        <v>22</v>
      </c>
    </row>
    <row r="25" spans="1:1">
      <c r="A25" s="186">
        <v>23</v>
      </c>
    </row>
    <row r="26" spans="1:1">
      <c r="A26" s="186">
        <v>24</v>
      </c>
    </row>
    <row r="27" spans="1:1">
      <c r="A27" s="186">
        <v>25</v>
      </c>
    </row>
    <row r="28" spans="1:1">
      <c r="A28" s="186">
        <v>26</v>
      </c>
    </row>
    <row r="29" spans="1:1">
      <c r="A29" s="186">
        <v>27</v>
      </c>
    </row>
    <row r="30" spans="1:1">
      <c r="A30" s="186">
        <v>28</v>
      </c>
    </row>
    <row r="31" spans="1:1">
      <c r="A31" s="186">
        <v>29</v>
      </c>
    </row>
    <row r="32" spans="1:1">
      <c r="A32" s="186">
        <v>30</v>
      </c>
    </row>
    <row r="33" spans="1:1">
      <c r="A33" s="186">
        <v>31</v>
      </c>
    </row>
    <row r="34" spans="1:1">
      <c r="A34" s="186">
        <v>32</v>
      </c>
    </row>
    <row r="35" spans="1:1">
      <c r="A35" s="186">
        <v>33</v>
      </c>
    </row>
    <row r="36" spans="1:1">
      <c r="A36" s="186">
        <v>34</v>
      </c>
    </row>
    <row r="37" spans="1:1">
      <c r="A37" s="186">
        <v>35</v>
      </c>
    </row>
    <row r="38" spans="1:1">
      <c r="A38" s="186">
        <v>36</v>
      </c>
    </row>
    <row r="39" spans="1:1">
      <c r="A39" s="186">
        <v>37</v>
      </c>
    </row>
    <row r="40" spans="1:1">
      <c r="A40" s="186">
        <v>38</v>
      </c>
    </row>
  </sheetData>
  <mergeCells count="2">
    <mergeCell ref="A1:F1"/>
    <mergeCell ref="G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3B3AB72-BA96-4E6F-BDD6-E0CCFDDC03D3}">
          <x14:formula1>
            <xm:f>Lists!$L$2:$L$11</xm:f>
          </x14:formula1>
          <xm:sqref>I3:J129</xm:sqref>
        </x14:dataValidation>
        <x14:dataValidation type="list" allowBlank="1" showInputMessage="1" showErrorMessage="1" xr:uid="{D2A20981-F408-4E9D-B102-DD21E788B18B}">
          <x14:formula1>
            <xm:f>Lists!$C$2:$C$4</xm:f>
          </x14:formula1>
          <xm:sqref>F3:F42</xm:sqref>
        </x14:dataValidation>
        <x14:dataValidation type="list" allowBlank="1" showInputMessage="1" showErrorMessage="1" xr:uid="{F62AF2E3-611B-48E7-BD6D-2A8EA075E078}">
          <x14:formula1>
            <xm:f>Lists!$D$17:$D$18</xm:f>
          </x14:formula1>
          <xm:sqref>G3:G40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283F-FCE5-48BD-AA97-7225943C483F}">
  <dimension ref="A1"/>
  <sheetViews>
    <sheetView workbookViewId="0"/>
  </sheetViews>
  <sheetFormatPr defaultRowHeight="15.6"/>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b26c466-b7e7-420d-9d7a-8be07dface07" xsi:nil="true"/>
    <lcf76f155ced4ddcb4097134ff3c332f xmlns="97137d12-c5e7-4bf8-ab63-816b90ba6850">
      <Terms xmlns="http://schemas.microsoft.com/office/infopath/2007/PartnerControls"/>
    </lcf76f155ced4ddcb4097134ff3c332f>
    <_ip_UnifiedCompliancePolicyUIAction xmlns="http://schemas.microsoft.com/sharepoint/v3" xsi:nil="true"/>
    <Notes xmlns="97137d12-c5e7-4bf8-ab63-816b90ba6850" xsi:nil="true"/>
    <Type_x002f_DataAlignment xmlns="97137d12-c5e7-4bf8-ab63-816b90ba6850" xsi:nil="true"/>
    <_ip_UnifiedCompliancePolicyProperties xmlns="http://schemas.microsoft.com/sharepoint/v3" xsi:nil="true"/>
    <Portal xmlns="97137d12-c5e7-4bf8-ab63-816b90ba6850" xsi:nil="true"/>
    <Location xmlns="97137d12-c5e7-4bf8-ab63-816b90ba6850" xsi:nil="true"/>
    <Seismic_x0020_Tag xmlns="cb26c466-b7e7-420d-9d7a-8be07dface07">External</Seismic_x0020_Tag>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E1099EF27B6AF4E840B0175E06B61AC" ma:contentTypeVersion="36" ma:contentTypeDescription="Create a new document." ma:contentTypeScope="" ma:versionID="d32aeb1898e4dbbf3749a98e5099b001">
  <xsd:schema xmlns:xsd="http://www.w3.org/2001/XMLSchema" xmlns:xs="http://www.w3.org/2001/XMLSchema" xmlns:p="http://schemas.microsoft.com/office/2006/metadata/properties" xmlns:ns1="http://schemas.microsoft.com/sharepoint/v3" xmlns:ns2="97137d12-c5e7-4bf8-ab63-816b90ba6850" xmlns:ns3="cb26c466-b7e7-420d-9d7a-8be07dface07" targetNamespace="http://schemas.microsoft.com/office/2006/metadata/properties" ma:root="true" ma:fieldsID="4f5eab3b61314c59d4255656a94f3e1a" ns1:_="" ns2:_="" ns3:_="">
    <xsd:import namespace="http://schemas.microsoft.com/sharepoint/v3"/>
    <xsd:import namespace="97137d12-c5e7-4bf8-ab63-816b90ba6850"/>
    <xsd:import namespace="cb26c466-b7e7-420d-9d7a-8be07dface0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Notes" minOccurs="0"/>
                <xsd:element ref="ns2:Location" minOccurs="0"/>
                <xsd:element ref="ns2:e3c4b6b6-1436-459b-a221-0c2a444e3382CountryOrRegion" minOccurs="0"/>
                <xsd:element ref="ns2:e3c4b6b6-1436-459b-a221-0c2a444e3382State" minOccurs="0"/>
                <xsd:element ref="ns2:e3c4b6b6-1436-459b-a221-0c2a444e3382City" minOccurs="0"/>
                <xsd:element ref="ns2:e3c4b6b6-1436-459b-a221-0c2a444e3382PostalCode" minOccurs="0"/>
                <xsd:element ref="ns2:e3c4b6b6-1436-459b-a221-0c2a444e3382Street" minOccurs="0"/>
                <xsd:element ref="ns2:e3c4b6b6-1436-459b-a221-0c2a444e3382GeoLoc" minOccurs="0"/>
                <xsd:element ref="ns2:e3c4b6b6-1436-459b-a221-0c2a444e3382DispName" minOccurs="0"/>
                <xsd:element ref="ns3:SharedWithUsers" minOccurs="0"/>
                <xsd:element ref="ns3:SharedWithDetails" minOccurs="0"/>
                <xsd:element ref="ns2:lcf76f155ced4ddcb4097134ff3c332f" minOccurs="0"/>
                <xsd:element ref="ns3:TaxCatchAll" minOccurs="0"/>
                <xsd:element ref="ns2:MediaServiceOCR" minOccurs="0"/>
                <xsd:element ref="ns2:Portal" minOccurs="0"/>
                <xsd:element ref="ns2:MediaServiceObjectDetectorVersions" minOccurs="0"/>
                <xsd:element ref="ns2:Type_x002f_DataAlignment"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element ref="ns3:Seismic_x0020_Tag"/>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8" nillable="true" ma:displayName="Unified Compliance Policy Properties" ma:hidden="true" ma:internalName="_ip_UnifiedCompliancePolicyProperties">
      <xsd:simpleType>
        <xsd:restriction base="dms:Note"/>
      </xsd:simpleType>
    </xsd:element>
    <xsd:element name="_ip_UnifiedCompliancePolicyUIAction" ma:index="3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137d12-c5e7-4bf8-ab63-816b90ba68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7" nillable="true" ma:displayName="Notes" ma:format="Dropdown" ma:internalName="Notes">
      <xsd:simpleType>
        <xsd:restriction base="dms:Note">
          <xsd:maxLength value="255"/>
        </xsd:restriction>
      </xsd:simpleType>
    </xsd:element>
    <xsd:element name="Location" ma:index="18" nillable="true" ma:displayName="Source" ma:format="Dropdown" ma:internalName="Location">
      <xsd:simpleType>
        <xsd:restriction base="dms:Unknown"/>
      </xsd:simpleType>
    </xsd:element>
    <xsd:element name="e3c4b6b6-1436-459b-a221-0c2a444e3382CountryOrRegion" ma:index="19" nillable="true" ma:displayName="Location: Country/Region" ma:internalName="CountryOrRegion" ma:readOnly="true">
      <xsd:simpleType>
        <xsd:restriction base="dms:Text"/>
      </xsd:simpleType>
    </xsd:element>
    <xsd:element name="e3c4b6b6-1436-459b-a221-0c2a444e3382State" ma:index="20" nillable="true" ma:displayName="Location: State" ma:internalName="State" ma:readOnly="true">
      <xsd:simpleType>
        <xsd:restriction base="dms:Text"/>
      </xsd:simpleType>
    </xsd:element>
    <xsd:element name="e3c4b6b6-1436-459b-a221-0c2a444e3382City" ma:index="21" nillable="true" ma:displayName="Location: City" ma:internalName="City" ma:readOnly="true">
      <xsd:simpleType>
        <xsd:restriction base="dms:Text"/>
      </xsd:simpleType>
    </xsd:element>
    <xsd:element name="e3c4b6b6-1436-459b-a221-0c2a444e3382PostalCode" ma:index="22" nillable="true" ma:displayName="Location: Postal Code" ma:internalName="PostalCode" ma:readOnly="true">
      <xsd:simpleType>
        <xsd:restriction base="dms:Text"/>
      </xsd:simpleType>
    </xsd:element>
    <xsd:element name="e3c4b6b6-1436-459b-a221-0c2a444e3382Street" ma:index="23" nillable="true" ma:displayName="Location: Street" ma:internalName="Street" ma:readOnly="true">
      <xsd:simpleType>
        <xsd:restriction base="dms:Text"/>
      </xsd:simpleType>
    </xsd:element>
    <xsd:element name="e3c4b6b6-1436-459b-a221-0c2a444e3382GeoLoc" ma:index="24" nillable="true" ma:displayName="Location: Coordinates" ma:internalName="GeoLoc" ma:readOnly="true">
      <xsd:simpleType>
        <xsd:restriction base="dms:Unknown"/>
      </xsd:simpleType>
    </xsd:element>
    <xsd:element name="e3c4b6b6-1436-459b-a221-0c2a444e3382DispName" ma:index="25" nillable="true" ma:displayName="Location: Name" ma:internalName="DispName"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75dd9cf-1201-41b8-8fef-87eb1108c2fb"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Portal" ma:index="32" nillable="true" ma:displayName="Portal" ma:format="Dropdown" ma:internalName="Portal">
      <xsd:simpleType>
        <xsd:restriction base="dms:Text">
          <xsd:maxLength value="255"/>
        </xsd:restrictio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Type_x002f_DataAlignment" ma:index="34" nillable="true" ma:displayName="Type/Data Alignment" ma:format="Dropdown" ma:internalName="Type_x002f_DataAlignment">
      <xsd:simpleType>
        <xsd:restriction base="dms:Note">
          <xsd:maxLength value="255"/>
        </xsd:restriction>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MediaServiceLocation" ma:index="36" nillable="true" ma:displayName="Location" ma:indexed="true" ma:internalName="MediaServiceLocation" ma:readOnly="true">
      <xsd:simpleType>
        <xsd:restriction base="dms:Text"/>
      </xsd:simpleType>
    </xsd:element>
    <xsd:element name="MediaServiceBillingMetadata" ma:index="3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26c466-b7e7-420d-9d7a-8be07dface07" elementFormDefault="qualified">
    <xsd:import namespace="http://schemas.microsoft.com/office/2006/documentManagement/types"/>
    <xsd:import namespace="http://schemas.microsoft.com/office/infopath/2007/PartnerControls"/>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element name="TaxCatchAll" ma:index="30" nillable="true" ma:displayName="Taxonomy Catch All Column" ma:hidden="true" ma:list="{2d10a0c0-cc40-43b6-9d92-574e0fb56d37}" ma:internalName="TaxCatchAll" ma:showField="CatchAllData" ma:web="cb26c466-b7e7-420d-9d7a-8be07dface07">
      <xsd:complexType>
        <xsd:complexContent>
          <xsd:extension base="dms:MultiChoiceLookup">
            <xsd:sequence>
              <xsd:element name="Value" type="dms:Lookup" maxOccurs="unbounded" minOccurs="0" nillable="true"/>
            </xsd:sequence>
          </xsd:extension>
        </xsd:complexContent>
      </xsd:complexType>
    </xsd:element>
    <xsd:element name="Seismic_x0020_Tag" ma:index="40" ma:displayName="Seismic Tag" ma:default="External" ma:description="required for seismic publication" ma:internalName="Seismic_x0020_Tag">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2865C0-0897-4940-AE6A-C815D273A03A}">
  <ds:schemaRefs>
    <ds:schemaRef ds:uri="http://schemas.microsoft.com/office/2006/metadata/properties"/>
    <ds:schemaRef ds:uri="http://schemas.microsoft.com/office/infopath/2007/PartnerControls"/>
    <ds:schemaRef ds:uri="cb26c466-b7e7-420d-9d7a-8be07dface07"/>
    <ds:schemaRef ds:uri="97137d12-c5e7-4bf8-ab63-816b90ba6850"/>
    <ds:schemaRef ds:uri="http://schemas.microsoft.com/sharepoint/v3"/>
  </ds:schemaRefs>
</ds:datastoreItem>
</file>

<file path=customXml/itemProps2.xml><?xml version="1.0" encoding="utf-8"?>
<ds:datastoreItem xmlns:ds="http://schemas.openxmlformats.org/officeDocument/2006/customXml" ds:itemID="{7381DBCF-E109-4FBA-A93B-514F47A154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7137d12-c5e7-4bf8-ab63-816b90ba6850"/>
    <ds:schemaRef ds:uri="cb26c466-b7e7-420d-9d7a-8be07dface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70BFC5-B8F2-48DC-836E-4F3C859899DF}">
  <ds:schemaRefs>
    <ds:schemaRef ds:uri="http://schemas.microsoft.com/DataMashup"/>
  </ds:schemaRefs>
</ds:datastoreItem>
</file>

<file path=customXml/itemProps4.xml><?xml version="1.0" encoding="utf-8"?>
<ds:datastoreItem xmlns:ds="http://schemas.openxmlformats.org/officeDocument/2006/customXml" ds:itemID="{7AE5FC9E-7A8B-4BB5-BEBF-582923D529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Reversion History</vt:lpstr>
      <vt:lpstr>Lists</vt:lpstr>
      <vt:lpstr>Executive Summary</vt:lpstr>
      <vt:lpstr>Performance Agenda</vt:lpstr>
      <vt:lpstr>Performance Milestones</vt:lpstr>
      <vt:lpstr>Performance Planner</vt:lpstr>
      <vt:lpstr>RAID Log</vt:lpstr>
      <vt:lpstr>Timeline</vt:lpstr>
      <vt:lpstr>Enterprise Timeline</vt:lpstr>
      <vt:lpstr>Project Timeline</vt:lpstr>
      <vt:lpstr>Hypercare Log</vt:lpstr>
      <vt:lpstr>COMING SOON LMS LXP</vt:lpstr>
      <vt:lpstr>'Project Timeline'!Print_Titles</vt:lpstr>
      <vt:lpstr>Timeline!Print_Titles</vt:lpstr>
      <vt:lpstr>'Project Timeline'!Project_Start</vt:lpstr>
      <vt:lpstr>'Project Timeline'!Scrolling_Increment</vt:lpstr>
      <vt:lpstr>Lists!Thresholds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Vithi IT</cp:lastModifiedBy>
  <cp:revision/>
  <dcterms:created xsi:type="dcterms:W3CDTF">2022-12-01T18:26:30Z</dcterms:created>
  <dcterms:modified xsi:type="dcterms:W3CDTF">2026-04-08T14:41:48Z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0x0101001E1099EF27B6AF4E840B0175E06B61AC</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