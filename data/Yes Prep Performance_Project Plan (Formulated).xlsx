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SOD\data\"/>
    </mc:Choice>
  </mc:AlternateContent>
  <xr:revisionPtr revIDLastSave="0" documentId="13_ncr:1_{0A9CCB29-16A6-489A-B585-E07D2FC7AE70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Learn-Plan" sheetId="1" state="hidden" r:id="rId1"/>
    <sheet name="Performance-Plan" sheetId="7" r:id="rId2"/>
    <sheet name="Availability" sheetId="3" state="hidden" r:id="rId3"/>
  </sheets>
  <definedNames>
    <definedName name="_xlnm._FilterDatabase" localSheetId="1" hidden="1">'Performance-Plan'!$A$1:$J$33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1" i="1"/>
  <c r="F3" i="1" l="1"/>
  <c r="E5" i="1" s="1"/>
  <c r="F5" i="1" s="1"/>
  <c r="E6" i="1" s="1"/>
  <c r="F6" i="1" s="1"/>
  <c r="E7" i="1" s="1"/>
  <c r="F7" i="1" s="1"/>
  <c r="E8" i="1" s="1"/>
  <c r="F8" i="1" s="1"/>
  <c r="E9" i="1" s="1"/>
  <c r="F9" i="1" s="1"/>
  <c r="F2" i="1"/>
  <c r="E4" i="1" s="1"/>
  <c r="F4" i="1" s="1"/>
  <c r="C15" i="7" l="1"/>
  <c r="E16" i="1"/>
  <c r="F16" i="1" s="1"/>
  <c r="E14" i="1"/>
  <c r="F14" i="1" s="1"/>
  <c r="E15" i="1"/>
  <c r="F15" i="1" s="1"/>
  <c r="E11" i="1"/>
  <c r="F11" i="1" s="1"/>
  <c r="E10" i="1"/>
  <c r="F10" i="1" s="1"/>
  <c r="E12" i="1"/>
  <c r="F12" i="1" s="1"/>
  <c r="E13" i="1" s="1"/>
  <c r="F13" i="1" s="1"/>
  <c r="E28" i="1" l="1"/>
  <c r="E18" i="1"/>
  <c r="F18" i="1" s="1"/>
  <c r="E22" i="1"/>
  <c r="E17" i="1"/>
  <c r="F17" i="1" s="1"/>
  <c r="E19" i="1"/>
  <c r="F19" i="1" s="1"/>
  <c r="E21" i="1"/>
  <c r="F21" i="1" s="1"/>
  <c r="E23" i="1"/>
  <c r="F23" i="1" s="1"/>
  <c r="E25" i="1" s="1"/>
  <c r="F25" i="1" s="1"/>
  <c r="E20" i="1"/>
  <c r="F20" i="1" s="1"/>
  <c r="E24" i="1" s="1"/>
  <c r="E33" i="1" l="1"/>
  <c r="F33" i="1" s="1"/>
  <c r="E29" i="1"/>
  <c r="F29" i="1" s="1"/>
  <c r="F22" i="1"/>
  <c r="E30" i="1"/>
  <c r="E26" i="1"/>
  <c r="F26" i="1" s="1"/>
  <c r="F24" i="1"/>
  <c r="E27" i="1" s="1"/>
  <c r="F27" i="1" s="1"/>
  <c r="F30" i="1" l="1"/>
  <c r="E31" i="1" s="1"/>
  <c r="E35" i="1"/>
  <c r="F31" i="1"/>
  <c r="C6" i="1"/>
  <c r="C5" i="1"/>
  <c r="E34" i="1" l="1"/>
  <c r="F34" i="1" s="1"/>
  <c r="F28" i="1"/>
  <c r="E32" i="1" s="1"/>
  <c r="F32" i="1" s="1"/>
  <c r="F35" i="1"/>
  <c r="E36" i="1" s="1"/>
  <c r="F36" i="1" s="1"/>
  <c r="E40" i="1"/>
  <c r="E38" i="1" l="1"/>
  <c r="F38" i="1" s="1"/>
  <c r="E39" i="1" s="1"/>
  <c r="F39" i="1" s="1"/>
  <c r="F40" i="1" s="1"/>
  <c r="E37" i="1"/>
  <c r="F37" i="1" s="1"/>
  <c r="E41" i="1" l="1"/>
  <c r="F41" i="1" s="1"/>
  <c r="E42" i="1" s="1"/>
  <c r="F42" i="1"/>
  <c r="E43" i="1"/>
  <c r="F43" i="1" l="1"/>
  <c r="E45" i="1" s="1"/>
  <c r="F45" i="1" s="1"/>
  <c r="E46" i="1" s="1"/>
  <c r="F46" i="1" s="1"/>
  <c r="E47" i="1" s="1"/>
  <c r="F47" i="1" s="1"/>
  <c r="E44" i="1"/>
  <c r="F44" i="1" s="1"/>
</calcChain>
</file>

<file path=xl/sharedStrings.xml><?xml version="1.0" encoding="utf-8"?>
<sst xmlns="http://schemas.openxmlformats.org/spreadsheetml/2006/main" count="334" uniqueCount="153">
  <si>
    <t>S.No</t>
  </si>
  <si>
    <t>Task</t>
  </si>
  <si>
    <t>Pre-Requisite</t>
  </si>
  <si>
    <t>Duration</t>
  </si>
  <si>
    <t>Planned Start Date</t>
  </si>
  <si>
    <t>Planned End Date</t>
  </si>
  <si>
    <t>Actual Start Date</t>
  </si>
  <si>
    <t>Actual End Date</t>
  </si>
  <si>
    <t>Owner</t>
  </si>
  <si>
    <t>Status</t>
  </si>
  <si>
    <t>Session Duration</t>
  </si>
  <si>
    <t>Session Agenda (Brief)</t>
  </si>
  <si>
    <t>Comments</t>
  </si>
  <si>
    <t>Project Kick Off</t>
  </si>
  <si>
    <t>All</t>
  </si>
  <si>
    <t>Complete</t>
  </si>
  <si>
    <t>Will be scheduled if needed</t>
  </si>
  <si>
    <t>Survey - Questionnaire</t>
  </si>
  <si>
    <t>CSOD</t>
  </si>
  <si>
    <t>Success Centre Access and Trainings Review</t>
  </si>
  <si>
    <t>ProActive</t>
  </si>
  <si>
    <t>Share updated questionnaire</t>
  </si>
  <si>
    <t>Discovery Workshop Session 1</t>
  </si>
  <si>
    <t>90 Mins</t>
  </si>
  <si>
    <t>Discovery Workshop Session 2</t>
  </si>
  <si>
    <t>Discovery Workshop Session 3</t>
  </si>
  <si>
    <t xml:space="preserve">Discovery Workshop Session 4 </t>
  </si>
  <si>
    <t>Schedule Weekly cadence</t>
  </si>
  <si>
    <t>Schedule Steerco Meeting</t>
  </si>
  <si>
    <t>Prepare Project Plan</t>
  </si>
  <si>
    <t>Review and baseline project Plan</t>
  </si>
  <si>
    <t>In-Progress</t>
  </si>
  <si>
    <t>Customer wants to fast track. Review is in progress</t>
  </si>
  <si>
    <t>Share updated usecases</t>
  </si>
  <si>
    <t>Share sample test scripts</t>
  </si>
  <si>
    <t>Technical project Kick-off</t>
  </si>
  <si>
    <t>120 Mins</t>
  </si>
  <si>
    <t>The integration consultant will kick off relevant tech project for Cornerstone HR (Edge Import and SSO)</t>
  </si>
  <si>
    <t>1. Single Sign-on- Not doing</t>
  </si>
  <si>
    <t>NA</t>
  </si>
  <si>
    <t>2. MS Teams Integration-VILT</t>
  </si>
  <si>
    <t>3. MS Teams Integration-LITFOW</t>
  </si>
  <si>
    <t>4. Employee and OU -Edge Templates</t>
  </si>
  <si>
    <t>OU files finalized, Other files to be shared by 18-Sep</t>
  </si>
  <si>
    <t>5. Master Data Load Learn-MDLL</t>
  </si>
  <si>
    <t>6. Historic Data Load Learn-HDLL</t>
  </si>
  <si>
    <t>Technical Consulting Sessions</t>
  </si>
  <si>
    <t>30 Mins</t>
  </si>
  <si>
    <t>Session to review anything on the 6 technical project items</t>
  </si>
  <si>
    <t>Sample Employee and OU files</t>
  </si>
  <si>
    <t>Sample MDLL files</t>
  </si>
  <si>
    <t>Sample HDLL files</t>
  </si>
  <si>
    <t>Branding Workshop</t>
  </si>
  <si>
    <t>60 Mins</t>
  </si>
  <si>
    <t>Design Sessions covering Content Creator, Certification Management</t>
  </si>
  <si>
    <t>Design Session 1</t>
  </si>
  <si>
    <t>Following the Discovery workshops, the consultant will conduct sessions that explores relevant module settings to determine the desired system behaviour.</t>
  </si>
  <si>
    <t>Design Session 2</t>
  </si>
  <si>
    <t>Design Session 3</t>
  </si>
  <si>
    <t>Based on the discussions, Usecases document to be updated</t>
  </si>
  <si>
    <t>Build Prototype on Pilot</t>
  </si>
  <si>
    <t>Demo on Pilot</t>
  </si>
  <si>
    <t>Admin Trainings</t>
  </si>
  <si>
    <t>Production Configuration</t>
  </si>
  <si>
    <t>Session with Rajesh to review the configurations done by the Pro-active team</t>
  </si>
  <si>
    <t>Copy Down Pilot-Stage</t>
  </si>
  <si>
    <t>Copy down Prod to Pilot</t>
  </si>
  <si>
    <t>Upload data to pilot</t>
  </si>
  <si>
    <t>UAT Preparation and Test Scripts update</t>
  </si>
  <si>
    <t>UAT</t>
  </si>
  <si>
    <t>[13-Oct]: Customer requested for UAT sign-off to be extended til 23-Oct to facilitate more time to review regional admin tasks
UAT Stand-up Sessions scheduled</t>
  </si>
  <si>
    <t>UAT Sign-off</t>
  </si>
  <si>
    <t>Share final MDLL</t>
  </si>
  <si>
    <t>Share final HDLL</t>
  </si>
  <si>
    <t>Update Production Configuration</t>
  </si>
  <si>
    <t>Final Review on Production</t>
  </si>
  <si>
    <t>Go-Live</t>
  </si>
  <si>
    <t>Description</t>
  </si>
  <si>
    <t>Yes Prep Comments</t>
  </si>
  <si>
    <t>Performance Implementation</t>
  </si>
  <si>
    <t>In Progress</t>
  </si>
  <si>
    <t>Officially start the project with all stakeholders; review scope, roles, and timelines.</t>
  </si>
  <si>
    <t>Completed</t>
  </si>
  <si>
    <t>Discovery - Questionnaire</t>
  </si>
  <si>
    <t>Gather initial inputs on current performance processes and expectations.</t>
  </si>
  <si>
    <t>Ensure client has access to Cornerstone resources and training materials.</t>
  </si>
  <si>
    <t>Customer will complete quiestionnaire and provide any document to help understand current processes and needs</t>
  </si>
  <si>
    <t>To be started</t>
  </si>
  <si>
    <t>Discovery Workshop Session</t>
  </si>
  <si>
    <t>Discuss business needs and validate requirements for Performance setup.</t>
  </si>
  <si>
    <t>OU Work shop</t>
  </si>
  <si>
    <t>Organisation Unit Workshop</t>
  </si>
  <si>
    <t>Align IT and integration teams on environment setup, SSO, and data migration.</t>
  </si>
  <si>
    <t>Set up recurring weekly project status meetings</t>
  </si>
  <si>
    <t>Update and baseline Project Plan</t>
  </si>
  <si>
    <t>Finalize and baseline the project plan with updated dates and milestones.</t>
  </si>
  <si>
    <t>Share updated Business usecases</t>
  </si>
  <si>
    <t>Share finalized business workflows and processes for confirmation.</t>
  </si>
  <si>
    <t>Configure initial setup in the Pilot environment based on agreed design.</t>
  </si>
  <si>
    <t>Demonstrate prototype to the client for feedback and approval.</t>
  </si>
  <si>
    <t>Conduct sessions to resolve technical or complex configuration needs.</t>
  </si>
  <si>
    <t>Sample Data Migration Files</t>
  </si>
  <si>
    <t>Share sample data templates to test in data.</t>
  </si>
  <si>
    <t>Review Sample Data Migration Files</t>
  </si>
  <si>
    <t>Validate sample data with customer for accuracy and completeness.</t>
  </si>
  <si>
    <t>Upload Sample Historical data to the platform</t>
  </si>
  <si>
    <t>Load reviewed sample data into Pilot for testing.</t>
  </si>
  <si>
    <t>Admin Training Session 1</t>
  </si>
  <si>
    <t>Conduct training sessions for client admins covering setup, workflows, performance cycles, reports, and troubleshooting.</t>
  </si>
  <si>
    <t>Admin Training Session 2</t>
  </si>
  <si>
    <t>Admin Training Session 3</t>
  </si>
  <si>
    <t>Admin Training Session 4</t>
  </si>
  <si>
    <t>Share draft UAT scripts covering key test scenarios.</t>
  </si>
  <si>
    <t>UAT Kick-off</t>
  </si>
  <si>
    <t>Start UAT phase; align on scope, roles, and timelines.</t>
  </si>
  <si>
    <t>UAT- Round 1</t>
  </si>
  <si>
    <t>First round of user acceptance testing; record and fix issues.</t>
  </si>
  <si>
    <t>UAT- Round 2</t>
  </si>
  <si>
    <t>Retest fixed issues and validate final scenarios.</t>
  </si>
  <si>
    <t>Obtain client approval that testing is complete and successful.</t>
  </si>
  <si>
    <t>Data Migration Pilot signoff</t>
  </si>
  <si>
    <t>Obtain client approval that data migration is complete and successful.</t>
  </si>
  <si>
    <t>Final Data Migration to Performance 1</t>
  </si>
  <si>
    <t>Migrate final validated data to Production.</t>
  </si>
  <si>
    <t>Signoff Data Migration to Performance</t>
  </si>
  <si>
    <t>Confirm and approve that final data migration is successful.</t>
  </si>
  <si>
    <t>Apply any last configuration updates in Production environment.</t>
  </si>
  <si>
    <t>Conduct a final validation of Production setup.</t>
  </si>
  <si>
    <t>Launch the system for all users and transition to post-go-live support.</t>
  </si>
  <si>
    <t>Role</t>
  </si>
  <si>
    <t>Cornerstone</t>
  </si>
  <si>
    <t>Upcoming Leaves or Holidays</t>
  </si>
  <si>
    <t>Business Consultant</t>
  </si>
  <si>
    <t>Sharmila VijayaKumar</t>
  </si>
  <si>
    <t>Project Manager</t>
  </si>
  <si>
    <t>Hari Rs</t>
  </si>
  <si>
    <t>Nov 17-21</t>
  </si>
  <si>
    <t>Technical Consultant</t>
  </si>
  <si>
    <t>Yohitha</t>
  </si>
  <si>
    <t>Munchkin</t>
  </si>
  <si>
    <t>Rachel Alaysa - Sr Manager, HRBP</t>
  </si>
  <si>
    <t>Executive Sponsor</t>
  </si>
  <si>
    <t>Elaine Cameron - Chief People Officer</t>
  </si>
  <si>
    <t>Technical Lead (Connectors and SSO)</t>
  </si>
  <si>
    <t>Patrick Sisante - Director, Global IT &amp; Infrastructure</t>
  </si>
  <si>
    <t>Mark Espiritu - Network Security Engineer</t>
  </si>
  <si>
    <t>Change Management Lead</t>
  </si>
  <si>
    <t>Rachel Alaysa</t>
  </si>
  <si>
    <t>Elaine Cameron</t>
  </si>
  <si>
    <t>Business Process Owner(s)</t>
  </si>
  <si>
    <t>Caleb Elledge - HR &amp; TA Assistant (admin support role)</t>
  </si>
  <si>
    <t>Customer</t>
  </si>
  <si>
    <t>Customer/Business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</si>
</sst>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1"/>
      <color theme="1"/>
      <name val="Aptos Narrow"/>
      <family val="2"/>
      <scheme val="minor"/>
    </font>
    <font>
      <strike/>
      <sz val="10"/>
      <color rgb="FF000000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ptos Narrow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readingOrder="1"/>
    </xf>
    <xf numFmtId="16" fontId="4" fillId="0" borderId="1" xfId="0" applyNumberFormat="1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readingOrder="1"/>
    </xf>
    <xf numFmtId="16" fontId="4" fillId="3" borderId="1" xfId="0" applyNumberFormat="1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16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 applyAlignment="1">
      <alignment horizontal="left" vertical="center" readingOrder="1"/>
    </xf>
    <xf numFmtId="0" fontId="4" fillId="6" borderId="1" xfId="0" applyFont="1" applyFill="1" applyBorder="1" applyAlignment="1">
      <alignment horizontal="left" vertical="center" readingOrder="1"/>
    </xf>
    <xf numFmtId="0" fontId="4" fillId="7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0" fontId="3" fillId="8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1" xfId="0" applyFont="1" applyBorder="1" applyAlignment="1">
      <alignment horizontal="left" vertical="center" readingOrder="1"/>
    </xf>
    <xf numFmtId="0" fontId="10" fillId="0" borderId="1" xfId="0" applyFont="1" applyBorder="1"/>
    <xf numFmtId="0" fontId="11" fillId="0" borderId="1" xfId="0" applyFont="1" applyBorder="1" applyAlignment="1">
      <alignment horizontal="left" vertical="center" readingOrder="1"/>
    </xf>
    <xf numFmtId="0" fontId="6" fillId="0" borderId="4" xfId="0" applyFont="1" applyBorder="1"/>
    <xf numFmtId="0" fontId="1" fillId="0" borderId="4" xfId="0" applyFont="1" applyBorder="1"/>
    <xf numFmtId="16" fontId="9" fillId="0" borderId="1" xfId="0" applyNumberFormat="1" applyFont="1" applyBorder="1" applyAlignment="1">
      <alignment horizontal="center" vertical="center" readingOrder="1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 readingOrder="1"/>
    </xf>
    <xf numFmtId="0" fontId="14" fillId="4" borderId="1" xfId="0" applyFont="1" applyFill="1" applyBorder="1" applyAlignment="1">
      <alignment horizontal="left" vertical="center" readingOrder="1"/>
    </xf>
    <xf numFmtId="0" fontId="14" fillId="4" borderId="1" xfId="0" applyFont="1" applyFill="1" applyBorder="1" applyAlignment="1">
      <alignment horizontal="center" vertical="center" readingOrder="1"/>
    </xf>
    <xf numFmtId="16" fontId="15" fillId="0" borderId="1" xfId="0" applyNumberFormat="1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left" vertical="center" readingOrder="1"/>
    </xf>
    <xf numFmtId="0" fontId="15" fillId="0" borderId="1" xfId="0" applyFont="1" applyBorder="1" applyAlignment="1">
      <alignment horizontal="center" vertical="center" readingOrder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/>
    <xf numFmtId="0" fontId="12" fillId="0" borderId="1" xfId="0" applyFont="1" applyBorder="1" applyAlignment="1">
      <alignment vertical="center" wrapText="1"/>
    </xf>
    <xf numFmtId="16" fontId="1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zoomScale="150" zoomScaleNormal="150" workbookViewId="0">
      <pane xSplit="4" ySplit="1" topLeftCell="E2" activePane="bottomRight" state="frozen"/>
      <selection pane="topRight" activeCell="E1" sqref="E1"/>
      <selection pane="bottomLeft" activeCell="A2" sqref="A2"/>
      <selection pane="bottomRight" sqref="A1:XFD1048576"/>
    </sheetView>
  </sheetViews>
  <sheetFormatPr defaultColWidth="8.77734375" defaultRowHeight="13.2" x14ac:dyDescent="0.25"/>
  <cols>
    <col min="1" max="1" width="8.77734375" style="3"/>
    <col min="2" max="2" width="37.77734375" style="17" customWidth="1"/>
    <col min="3" max="3" width="12.44140625" style="17" bestFit="1" customWidth="1"/>
    <col min="4" max="4" width="12.44140625" style="17" customWidth="1"/>
    <col min="5" max="6" width="16.77734375" style="3" customWidth="1"/>
    <col min="7" max="7" width="15.5546875" style="3" customWidth="1"/>
    <col min="8" max="8" width="14.44140625" style="3" customWidth="1"/>
    <col min="9" max="9" width="10.77734375" style="3" bestFit="1" customWidth="1"/>
    <col min="10" max="10" width="14.5546875" style="3" bestFit="1" customWidth="1"/>
    <col min="11" max="11" width="14.44140625" style="3" customWidth="1"/>
    <col min="12" max="12" width="66.5546875" style="3" bestFit="1" customWidth="1"/>
    <col min="13" max="13" width="24.5546875" style="3" bestFit="1" customWidth="1"/>
    <col min="14" max="16384" width="8.77734375" style="3"/>
  </cols>
  <sheetData>
    <row r="1" spans="1:13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2" customHeight="1" x14ac:dyDescent="0.25">
      <c r="A2" s="4">
        <v>1</v>
      </c>
      <c r="B2" s="5" t="s">
        <v>13</v>
      </c>
      <c r="C2" s="5"/>
      <c r="D2" s="5"/>
      <c r="E2" s="6">
        <v>45847</v>
      </c>
      <c r="F2" s="6">
        <f>E2</f>
        <v>45847</v>
      </c>
      <c r="G2" s="6">
        <v>45847</v>
      </c>
      <c r="H2" s="6">
        <v>45847</v>
      </c>
      <c r="I2" s="4" t="s">
        <v>14</v>
      </c>
      <c r="J2" s="4" t="s">
        <v>15</v>
      </c>
      <c r="K2" s="4"/>
      <c r="L2" s="4"/>
      <c r="M2" s="4" t="s">
        <v>16</v>
      </c>
    </row>
    <row r="3" spans="1:13" ht="12" customHeight="1" x14ac:dyDescent="0.25">
      <c r="A3" s="4">
        <v>2</v>
      </c>
      <c r="B3" s="5" t="s">
        <v>17</v>
      </c>
      <c r="C3" s="5"/>
      <c r="D3" s="5"/>
      <c r="E3" s="6">
        <v>45848</v>
      </c>
      <c r="F3" s="6">
        <f>E3</f>
        <v>45848</v>
      </c>
      <c r="G3" s="6">
        <v>45848</v>
      </c>
      <c r="H3" s="6">
        <v>45848</v>
      </c>
      <c r="I3" s="4" t="s">
        <v>18</v>
      </c>
      <c r="J3" s="4" t="s">
        <v>15</v>
      </c>
      <c r="K3" s="4"/>
      <c r="L3" s="4"/>
      <c r="M3" s="4"/>
    </row>
    <row r="4" spans="1:13" ht="12" customHeight="1" x14ac:dyDescent="0.25">
      <c r="A4" s="4">
        <v>3</v>
      </c>
      <c r="B4" s="5" t="s">
        <v>19</v>
      </c>
      <c r="C4" s="5"/>
      <c r="D4" s="5">
        <v>5</v>
      </c>
      <c r="E4" s="6">
        <f>WORKDAY(F2,1)</f>
        <v>45848</v>
      </c>
      <c r="F4" s="6">
        <f>WORKDAY(E4,D4)</f>
        <v>45855</v>
      </c>
      <c r="G4" s="6">
        <v>45848</v>
      </c>
      <c r="H4" s="6">
        <v>45855</v>
      </c>
      <c r="I4" s="4" t="s">
        <v>20</v>
      </c>
      <c r="J4" s="4" t="s">
        <v>15</v>
      </c>
      <c r="K4" s="4"/>
      <c r="L4" s="4"/>
      <c r="M4" s="4"/>
    </row>
    <row r="5" spans="1:13" ht="12" customHeight="1" x14ac:dyDescent="0.25">
      <c r="A5" s="4">
        <v>4</v>
      </c>
      <c r="B5" s="5" t="s">
        <v>21</v>
      </c>
      <c r="C5" s="5">
        <f>A3</f>
        <v>2</v>
      </c>
      <c r="D5" s="5">
        <v>8</v>
      </c>
      <c r="E5" s="6">
        <f>WORKDAY(F3,1)</f>
        <v>45849</v>
      </c>
      <c r="F5" s="6">
        <f>WORKDAY(E5,D5)</f>
        <v>45861</v>
      </c>
      <c r="G5" s="6">
        <v>45848</v>
      </c>
      <c r="H5" s="6">
        <v>45861</v>
      </c>
      <c r="I5" s="4" t="s">
        <v>20</v>
      </c>
      <c r="J5" s="4" t="s">
        <v>15</v>
      </c>
      <c r="K5" s="4"/>
      <c r="L5" s="4"/>
      <c r="M5" s="4"/>
    </row>
    <row r="6" spans="1:13" x14ac:dyDescent="0.25">
      <c r="A6" s="4">
        <v>5</v>
      </c>
      <c r="B6" s="7" t="s">
        <v>22</v>
      </c>
      <c r="C6" s="7">
        <f>A5</f>
        <v>4</v>
      </c>
      <c r="D6" s="7"/>
      <c r="E6" s="6">
        <f>WORKDAY(F5,7)</f>
        <v>45870</v>
      </c>
      <c r="F6" s="6">
        <f>E6</f>
        <v>45870</v>
      </c>
      <c r="G6" s="6">
        <v>45870</v>
      </c>
      <c r="H6" s="6">
        <v>45870</v>
      </c>
      <c r="I6" s="4" t="s">
        <v>14</v>
      </c>
      <c r="J6" s="4" t="s">
        <v>15</v>
      </c>
      <c r="K6" s="4" t="s">
        <v>23</v>
      </c>
      <c r="L6" s="4"/>
      <c r="M6" s="4"/>
    </row>
    <row r="7" spans="1:13" x14ac:dyDescent="0.25">
      <c r="A7" s="4">
        <v>6</v>
      </c>
      <c r="B7" s="7" t="s">
        <v>24</v>
      </c>
      <c r="C7" s="7"/>
      <c r="D7" s="7"/>
      <c r="E7" s="6">
        <f>WORKDAY(F6,5)</f>
        <v>45877</v>
      </c>
      <c r="F7" s="6">
        <f>E7</f>
        <v>45877</v>
      </c>
      <c r="G7" s="6">
        <v>45877</v>
      </c>
      <c r="H7" s="6">
        <v>45877</v>
      </c>
      <c r="I7" s="4" t="s">
        <v>14</v>
      </c>
      <c r="J7" s="4" t="s">
        <v>15</v>
      </c>
      <c r="K7" s="4" t="s">
        <v>23</v>
      </c>
      <c r="L7" s="4"/>
      <c r="M7" s="4"/>
    </row>
    <row r="8" spans="1:13" x14ac:dyDescent="0.25">
      <c r="A8" s="4">
        <v>7</v>
      </c>
      <c r="B8" s="7" t="s">
        <v>25</v>
      </c>
      <c r="C8" s="7"/>
      <c r="D8" s="7"/>
      <c r="E8" s="6">
        <f>WORKDAY(F7,1)</f>
        <v>45880</v>
      </c>
      <c r="F8" s="6">
        <f>E8</f>
        <v>45880</v>
      </c>
      <c r="G8" s="6">
        <v>45880</v>
      </c>
      <c r="H8" s="6">
        <v>45880</v>
      </c>
      <c r="I8" s="4" t="s">
        <v>14</v>
      </c>
      <c r="J8" s="4" t="s">
        <v>15</v>
      </c>
      <c r="K8" s="4" t="s">
        <v>23</v>
      </c>
      <c r="L8" s="4"/>
      <c r="M8" s="4"/>
    </row>
    <row r="9" spans="1:13" x14ac:dyDescent="0.25">
      <c r="A9" s="4">
        <v>8</v>
      </c>
      <c r="B9" s="7" t="s">
        <v>26</v>
      </c>
      <c r="C9" s="7"/>
      <c r="D9" s="7"/>
      <c r="E9" s="6">
        <f>WORKDAY(F8,6)</f>
        <v>45888</v>
      </c>
      <c r="F9" s="6">
        <f>E9</f>
        <v>45888</v>
      </c>
      <c r="G9" s="6">
        <v>45888</v>
      </c>
      <c r="H9" s="6">
        <v>45888</v>
      </c>
      <c r="I9" s="4" t="s">
        <v>14</v>
      </c>
      <c r="J9" s="4" t="s">
        <v>15</v>
      </c>
      <c r="K9" s="4" t="s">
        <v>23</v>
      </c>
      <c r="L9" s="4"/>
      <c r="M9" s="4"/>
    </row>
    <row r="10" spans="1:13" ht="12" customHeight="1" x14ac:dyDescent="0.25">
      <c r="A10" s="4">
        <v>9</v>
      </c>
      <c r="B10" s="5" t="s">
        <v>27</v>
      </c>
      <c r="C10" s="5"/>
      <c r="D10" s="5">
        <v>2</v>
      </c>
      <c r="E10" s="6">
        <f>WORKDAY(F9,5)</f>
        <v>45895</v>
      </c>
      <c r="F10" s="6">
        <f>WORKDAY(E10,D10)</f>
        <v>45897</v>
      </c>
      <c r="G10" s="6"/>
      <c r="H10" s="6"/>
      <c r="I10" s="4" t="s">
        <v>14</v>
      </c>
      <c r="J10" s="4" t="s">
        <v>15</v>
      </c>
      <c r="K10" s="4"/>
      <c r="L10" s="4"/>
      <c r="M10" s="4"/>
    </row>
    <row r="11" spans="1:13" ht="12" customHeight="1" x14ac:dyDescent="0.25">
      <c r="A11" s="4">
        <v>10</v>
      </c>
      <c r="B11" s="5" t="s">
        <v>28</v>
      </c>
      <c r="C11" s="5"/>
      <c r="D11" s="5">
        <v>2</v>
      </c>
      <c r="E11" s="6">
        <f>WORKDAY(F9,5)</f>
        <v>45895</v>
      </c>
      <c r="F11" s="6">
        <f>WORKDAY(E11,D11)</f>
        <v>45897</v>
      </c>
      <c r="G11" s="6"/>
      <c r="H11" s="6"/>
      <c r="I11" s="4" t="s">
        <v>14</v>
      </c>
      <c r="J11" s="4"/>
      <c r="K11" s="4"/>
      <c r="L11" s="4"/>
      <c r="M11" s="4"/>
    </row>
    <row r="12" spans="1:13" x14ac:dyDescent="0.25">
      <c r="A12" s="4">
        <v>11</v>
      </c>
      <c r="B12" s="5" t="s">
        <v>29</v>
      </c>
      <c r="C12" s="7"/>
      <c r="D12" s="7"/>
      <c r="E12" s="6">
        <f>WORKDAY(F9,4)</f>
        <v>45894</v>
      </c>
      <c r="F12" s="6">
        <f>E12</f>
        <v>45894</v>
      </c>
      <c r="G12" s="6"/>
      <c r="H12" s="6"/>
      <c r="I12" s="4" t="s">
        <v>18</v>
      </c>
      <c r="J12" s="4" t="s">
        <v>15</v>
      </c>
      <c r="K12" s="4"/>
      <c r="L12" s="4"/>
      <c r="M12" s="4"/>
    </row>
    <row r="13" spans="1:13" ht="26.4" x14ac:dyDescent="0.25">
      <c r="A13" s="4">
        <v>12</v>
      </c>
      <c r="B13" s="5" t="s">
        <v>30</v>
      </c>
      <c r="C13" s="7"/>
      <c r="D13" s="7">
        <v>5</v>
      </c>
      <c r="E13" s="6">
        <f>WORKDAY(F12,1)</f>
        <v>45895</v>
      </c>
      <c r="F13" s="6">
        <f>WORKDAY(E13,D13)</f>
        <v>45902</v>
      </c>
      <c r="G13" s="6"/>
      <c r="H13" s="6">
        <v>45915</v>
      </c>
      <c r="I13" s="4" t="s">
        <v>14</v>
      </c>
      <c r="J13" s="4" t="s">
        <v>31</v>
      </c>
      <c r="K13" s="4"/>
      <c r="L13" s="4"/>
      <c r="M13" s="9" t="s">
        <v>32</v>
      </c>
    </row>
    <row r="14" spans="1:13" ht="12" customHeight="1" x14ac:dyDescent="0.25">
      <c r="A14" s="4">
        <v>13</v>
      </c>
      <c r="B14" s="5" t="s">
        <v>33</v>
      </c>
      <c r="C14" s="5"/>
      <c r="D14" s="5">
        <v>5</v>
      </c>
      <c r="E14" s="6">
        <f>WORKDAY(F9,4)</f>
        <v>45894</v>
      </c>
      <c r="F14" s="6">
        <f>WORKDAY(E14,D14)</f>
        <v>45901</v>
      </c>
      <c r="G14" s="6"/>
      <c r="H14" s="6"/>
      <c r="I14" s="8" t="s">
        <v>20</v>
      </c>
      <c r="J14" s="4" t="s">
        <v>15</v>
      </c>
      <c r="K14" s="4"/>
      <c r="L14" s="4"/>
      <c r="M14" s="4"/>
    </row>
    <row r="15" spans="1:13" ht="12" customHeight="1" x14ac:dyDescent="0.25">
      <c r="A15" s="4">
        <v>14</v>
      </c>
      <c r="B15" s="5" t="s">
        <v>34</v>
      </c>
      <c r="C15" s="5"/>
      <c r="D15" s="5"/>
      <c r="E15" s="6">
        <f>WORKDAY(F9,4)</f>
        <v>45894</v>
      </c>
      <c r="F15" s="6">
        <f>E15</f>
        <v>45894</v>
      </c>
      <c r="G15" s="6">
        <v>45902</v>
      </c>
      <c r="H15" s="6">
        <v>45902</v>
      </c>
      <c r="I15" s="8" t="s">
        <v>18</v>
      </c>
      <c r="J15" s="4" t="s">
        <v>15</v>
      </c>
      <c r="K15" s="4"/>
      <c r="L15" s="4"/>
      <c r="M15" s="4"/>
    </row>
    <row r="16" spans="1:13" ht="12" customHeight="1" x14ac:dyDescent="0.25">
      <c r="A16" s="4">
        <v>15</v>
      </c>
      <c r="B16" s="5" t="s">
        <v>35</v>
      </c>
      <c r="C16" s="5"/>
      <c r="D16" s="5"/>
      <c r="E16" s="6">
        <f>WORKDAY(F9,7)</f>
        <v>45897</v>
      </c>
      <c r="F16" s="6">
        <f>E16</f>
        <v>45897</v>
      </c>
      <c r="G16" s="6">
        <v>45928</v>
      </c>
      <c r="H16" s="6">
        <v>45903</v>
      </c>
      <c r="I16" s="4" t="s">
        <v>14</v>
      </c>
      <c r="J16" s="4" t="s">
        <v>15</v>
      </c>
      <c r="K16" s="4" t="s">
        <v>36</v>
      </c>
      <c r="L16" s="18" t="s">
        <v>37</v>
      </c>
      <c r="M16" s="4"/>
    </row>
    <row r="17" spans="1:13" ht="12" customHeight="1" x14ac:dyDescent="0.25">
      <c r="A17" s="4">
        <v>16</v>
      </c>
      <c r="B17" s="26" t="s">
        <v>38</v>
      </c>
      <c r="C17" s="5"/>
      <c r="D17" s="5">
        <v>5</v>
      </c>
      <c r="E17" s="6">
        <f>WORKDAY(F16,1)</f>
        <v>45898</v>
      </c>
      <c r="F17" s="6">
        <f t="shared" ref="F17:F23" si="0">WORKDAY(E17,D17)</f>
        <v>45905</v>
      </c>
      <c r="G17" s="6"/>
      <c r="H17" s="6"/>
      <c r="I17" s="4" t="s">
        <v>14</v>
      </c>
      <c r="J17" s="4" t="s">
        <v>39</v>
      </c>
      <c r="K17" s="4"/>
      <c r="L17" s="4"/>
      <c r="M17" s="4"/>
    </row>
    <row r="18" spans="1:13" ht="12" customHeight="1" x14ac:dyDescent="0.25">
      <c r="A18" s="4">
        <v>17</v>
      </c>
      <c r="B18" s="26" t="s">
        <v>40</v>
      </c>
      <c r="C18" s="5"/>
      <c r="D18" s="5">
        <v>5</v>
      </c>
      <c r="E18" s="6">
        <f>WORKDAY(F16,1)</f>
        <v>45898</v>
      </c>
      <c r="F18" s="6">
        <f t="shared" si="0"/>
        <v>45905</v>
      </c>
      <c r="G18" s="6"/>
      <c r="H18" s="6"/>
      <c r="I18" s="4" t="s">
        <v>14</v>
      </c>
      <c r="J18" s="4" t="s">
        <v>39</v>
      </c>
      <c r="K18" s="4"/>
      <c r="L18" s="4"/>
      <c r="M18" s="4"/>
    </row>
    <row r="19" spans="1:13" ht="12" customHeight="1" x14ac:dyDescent="0.25">
      <c r="A19" s="4">
        <v>18</v>
      </c>
      <c r="B19" s="26" t="s">
        <v>41</v>
      </c>
      <c r="C19" s="5"/>
      <c r="D19" s="5">
        <v>5</v>
      </c>
      <c r="E19" s="6">
        <f>WORKDAY(F16,1)</f>
        <v>45898</v>
      </c>
      <c r="F19" s="6">
        <f t="shared" si="0"/>
        <v>45905</v>
      </c>
      <c r="G19" s="6"/>
      <c r="H19" s="6"/>
      <c r="I19" s="4" t="s">
        <v>14</v>
      </c>
      <c r="J19" s="4" t="s">
        <v>39</v>
      </c>
      <c r="K19" s="4"/>
      <c r="L19" s="4"/>
      <c r="M19" s="4"/>
    </row>
    <row r="20" spans="1:13" ht="12" customHeight="1" x14ac:dyDescent="0.25">
      <c r="A20" s="4">
        <v>19</v>
      </c>
      <c r="B20" s="5" t="s">
        <v>42</v>
      </c>
      <c r="C20" s="5"/>
      <c r="D20" s="5">
        <v>7</v>
      </c>
      <c r="E20" s="6">
        <f>WORKDAY(F16,1)</f>
        <v>45898</v>
      </c>
      <c r="F20" s="6">
        <f t="shared" si="0"/>
        <v>45909</v>
      </c>
      <c r="G20" s="6">
        <v>45898</v>
      </c>
      <c r="H20" s="6"/>
      <c r="I20" s="4" t="s">
        <v>14</v>
      </c>
      <c r="J20" s="31" t="s">
        <v>31</v>
      </c>
      <c r="K20" s="4"/>
      <c r="L20" s="4" t="s">
        <v>43</v>
      </c>
      <c r="M20" s="4"/>
    </row>
    <row r="21" spans="1:13" ht="12" customHeight="1" x14ac:dyDescent="0.25">
      <c r="A21" s="4">
        <v>20</v>
      </c>
      <c r="B21" s="5" t="s">
        <v>44</v>
      </c>
      <c r="C21" s="5"/>
      <c r="D21" s="5">
        <v>10</v>
      </c>
      <c r="E21" s="6">
        <f>WORKDAY(F16,1)</f>
        <v>45898</v>
      </c>
      <c r="F21" s="6">
        <f t="shared" si="0"/>
        <v>45912</v>
      </c>
      <c r="G21" s="6">
        <f>WORKDAY(H16,1)</f>
        <v>45904</v>
      </c>
      <c r="H21" s="6"/>
      <c r="I21" s="4" t="s">
        <v>14</v>
      </c>
      <c r="J21" s="4" t="s">
        <v>31</v>
      </c>
      <c r="K21" s="4"/>
      <c r="L21" s="4"/>
      <c r="M21" s="4"/>
    </row>
    <row r="22" spans="1:13" ht="12" customHeight="1" x14ac:dyDescent="0.25">
      <c r="A22" s="4">
        <v>21</v>
      </c>
      <c r="B22" s="26" t="s">
        <v>45</v>
      </c>
      <c r="C22" s="5"/>
      <c r="D22" s="5">
        <v>15</v>
      </c>
      <c r="E22" s="6">
        <f>WORKDAY(F16,1)</f>
        <v>45898</v>
      </c>
      <c r="F22" s="6">
        <f t="shared" si="0"/>
        <v>45919</v>
      </c>
      <c r="G22" s="6"/>
      <c r="H22" s="6"/>
      <c r="I22" s="4" t="s">
        <v>14</v>
      </c>
      <c r="J22" s="4" t="s">
        <v>39</v>
      </c>
      <c r="K22" s="4"/>
      <c r="L22" s="4"/>
      <c r="M22" s="4"/>
    </row>
    <row r="23" spans="1:13" ht="12" customHeight="1" x14ac:dyDescent="0.25">
      <c r="A23" s="4">
        <v>22</v>
      </c>
      <c r="B23" s="5" t="s">
        <v>46</v>
      </c>
      <c r="C23" s="5"/>
      <c r="D23" s="5">
        <v>10</v>
      </c>
      <c r="E23" s="6">
        <f>WORKDAY(F16,1)</f>
        <v>45898</v>
      </c>
      <c r="F23" s="6">
        <f t="shared" si="0"/>
        <v>45912</v>
      </c>
      <c r="G23" s="6">
        <f>WORKDAY(H16,1)</f>
        <v>45904</v>
      </c>
      <c r="H23" s="6"/>
      <c r="I23" s="4" t="s">
        <v>14</v>
      </c>
      <c r="J23" s="4" t="s">
        <v>31</v>
      </c>
      <c r="K23" s="4" t="s">
        <v>47</v>
      </c>
      <c r="L23" s="15" t="s">
        <v>48</v>
      </c>
      <c r="M23" s="4"/>
    </row>
    <row r="24" spans="1:13" ht="12" customHeight="1" x14ac:dyDescent="0.25">
      <c r="A24" s="4">
        <v>23</v>
      </c>
      <c r="B24" s="5" t="s">
        <v>49</v>
      </c>
      <c r="C24" s="5"/>
      <c r="D24" s="5"/>
      <c r="E24" s="6">
        <f>F20</f>
        <v>45909</v>
      </c>
      <c r="F24" s="6">
        <f>E24</f>
        <v>45909</v>
      </c>
      <c r="G24" s="6"/>
      <c r="H24" s="6"/>
      <c r="I24" s="8" t="s">
        <v>20</v>
      </c>
      <c r="J24" s="4" t="s">
        <v>31</v>
      </c>
      <c r="K24" s="4"/>
      <c r="L24" s="4"/>
      <c r="M24" s="4"/>
    </row>
    <row r="25" spans="1:13" ht="12" customHeight="1" x14ac:dyDescent="0.25">
      <c r="A25" s="4">
        <v>24</v>
      </c>
      <c r="B25" s="5" t="s">
        <v>50</v>
      </c>
      <c r="C25" s="5"/>
      <c r="D25" s="5"/>
      <c r="E25" s="6">
        <f>F23</f>
        <v>45912</v>
      </c>
      <c r="F25" s="6">
        <f>E25</f>
        <v>45912</v>
      </c>
      <c r="G25" s="6"/>
      <c r="H25" s="6"/>
      <c r="I25" s="8" t="s">
        <v>20</v>
      </c>
      <c r="J25" s="4" t="s">
        <v>31</v>
      </c>
      <c r="K25" s="4"/>
      <c r="L25" s="4"/>
      <c r="M25" s="4"/>
    </row>
    <row r="26" spans="1:13" ht="12" customHeight="1" x14ac:dyDescent="0.25">
      <c r="A26" s="4">
        <v>25</v>
      </c>
      <c r="B26" s="26" t="s">
        <v>51</v>
      </c>
      <c r="C26" s="5"/>
      <c r="D26" s="5">
        <v>5</v>
      </c>
      <c r="E26" s="6">
        <f>WORKDAY(F23,1)</f>
        <v>45915</v>
      </c>
      <c r="F26" s="6">
        <f>WORKDAY(E26,D26)</f>
        <v>45922</v>
      </c>
      <c r="G26" s="6"/>
      <c r="H26" s="6"/>
      <c r="I26" s="8" t="s">
        <v>20</v>
      </c>
      <c r="J26" s="4" t="s">
        <v>39</v>
      </c>
      <c r="K26" s="4"/>
      <c r="L26" s="4"/>
      <c r="M26" s="4"/>
    </row>
    <row r="27" spans="1:13" ht="12" customHeight="1" x14ac:dyDescent="0.25">
      <c r="A27" s="4">
        <v>26</v>
      </c>
      <c r="B27" s="27" t="s">
        <v>52</v>
      </c>
      <c r="C27" s="5"/>
      <c r="D27" s="5"/>
      <c r="E27" s="6">
        <f>WORKDAY(F24,1)</f>
        <v>45910</v>
      </c>
      <c r="F27" s="6">
        <f>E27</f>
        <v>45910</v>
      </c>
      <c r="G27" s="6"/>
      <c r="H27" s="6">
        <v>45910</v>
      </c>
      <c r="I27" s="8" t="s">
        <v>14</v>
      </c>
      <c r="J27" s="4" t="s">
        <v>15</v>
      </c>
      <c r="K27" s="4" t="s">
        <v>53</v>
      </c>
      <c r="L27" s="19"/>
      <c r="M27" s="4"/>
    </row>
    <row r="28" spans="1:13" ht="27.6" customHeight="1" x14ac:dyDescent="0.25">
      <c r="A28" s="4">
        <v>27</v>
      </c>
      <c r="B28" s="28" t="s">
        <v>54</v>
      </c>
      <c r="C28" s="5"/>
      <c r="D28" s="5"/>
      <c r="E28" s="6">
        <f>WORKDAY(F16,3)</f>
        <v>45902</v>
      </c>
      <c r="F28" s="6">
        <f>F31</f>
        <v>45911</v>
      </c>
      <c r="G28" s="6">
        <v>45902</v>
      </c>
      <c r="H28" s="6">
        <v>45911</v>
      </c>
      <c r="I28" s="8" t="s">
        <v>14</v>
      </c>
      <c r="J28" s="4" t="s">
        <v>15</v>
      </c>
      <c r="K28" s="4"/>
      <c r="L28" s="19"/>
      <c r="M28" s="4"/>
    </row>
    <row r="29" spans="1:13" ht="12" customHeight="1" x14ac:dyDescent="0.25">
      <c r="A29" s="4">
        <v>28</v>
      </c>
      <c r="B29" s="5" t="s">
        <v>55</v>
      </c>
      <c r="C29" s="5"/>
      <c r="D29" s="5"/>
      <c r="E29" s="6">
        <f>WORKDAY(E28,3)</f>
        <v>45905</v>
      </c>
      <c r="F29" s="6">
        <f>E29</f>
        <v>45905</v>
      </c>
      <c r="G29" s="6">
        <v>45905</v>
      </c>
      <c r="H29" s="6">
        <v>45905</v>
      </c>
      <c r="I29" s="4" t="s">
        <v>14</v>
      </c>
      <c r="J29" s="4" t="s">
        <v>15</v>
      </c>
      <c r="K29" s="4" t="s">
        <v>36</v>
      </c>
      <c r="L29" s="55" t="s">
        <v>56</v>
      </c>
      <c r="M29" s="4"/>
    </row>
    <row r="30" spans="1:13" ht="12" customHeight="1" x14ac:dyDescent="0.25">
      <c r="A30" s="4">
        <v>29</v>
      </c>
      <c r="B30" s="5" t="s">
        <v>57</v>
      </c>
      <c r="C30" s="5"/>
      <c r="D30" s="5"/>
      <c r="E30" s="6">
        <f>WORKDAY(F29,1)</f>
        <v>45908</v>
      </c>
      <c r="F30" s="6">
        <f>E30</f>
        <v>45908</v>
      </c>
      <c r="G30" s="6">
        <v>45908</v>
      </c>
      <c r="H30" s="6">
        <v>45908</v>
      </c>
      <c r="I30" s="4" t="s">
        <v>14</v>
      </c>
      <c r="J30" s="4" t="s">
        <v>15</v>
      </c>
      <c r="K30" s="4" t="s">
        <v>36</v>
      </c>
      <c r="L30" s="56"/>
      <c r="M30" s="4"/>
    </row>
    <row r="31" spans="1:13" ht="12" customHeight="1" x14ac:dyDescent="0.25">
      <c r="A31" s="4">
        <v>30</v>
      </c>
      <c r="B31" s="5" t="s">
        <v>58</v>
      </c>
      <c r="C31" s="5"/>
      <c r="D31" s="5"/>
      <c r="E31" s="6">
        <f>WORKDAY(F30,3)</f>
        <v>45911</v>
      </c>
      <c r="F31" s="6">
        <f>E31</f>
        <v>45911</v>
      </c>
      <c r="G31" s="6">
        <v>45911</v>
      </c>
      <c r="H31" s="6">
        <v>45911</v>
      </c>
      <c r="I31" s="4" t="s">
        <v>14</v>
      </c>
      <c r="J31" s="4" t="s">
        <v>15</v>
      </c>
      <c r="K31" s="4" t="s">
        <v>36</v>
      </c>
      <c r="L31" s="57"/>
      <c r="M31" s="4"/>
    </row>
    <row r="32" spans="1:13" ht="12" customHeight="1" x14ac:dyDescent="0.25">
      <c r="A32" s="4">
        <v>31</v>
      </c>
      <c r="B32" s="5" t="s">
        <v>33</v>
      </c>
      <c r="C32" s="5"/>
      <c r="D32" s="5">
        <v>2</v>
      </c>
      <c r="E32" s="6">
        <f>WORKDAY(F28,1)</f>
        <v>45912</v>
      </c>
      <c r="F32" s="6">
        <f>WORKDAY(E32,D32)</f>
        <v>45916</v>
      </c>
      <c r="G32" s="6">
        <v>45912</v>
      </c>
      <c r="H32" s="6">
        <v>45916</v>
      </c>
      <c r="I32" s="8" t="s">
        <v>20</v>
      </c>
      <c r="J32" s="4" t="s">
        <v>15</v>
      </c>
      <c r="K32" s="4"/>
      <c r="L32" s="15" t="s">
        <v>59</v>
      </c>
      <c r="M32" s="4"/>
    </row>
    <row r="33" spans="1:13" ht="13.05" customHeight="1" x14ac:dyDescent="0.25">
      <c r="A33" s="4">
        <v>32</v>
      </c>
      <c r="B33" s="5" t="s">
        <v>60</v>
      </c>
      <c r="C33" s="5"/>
      <c r="D33" s="5">
        <v>3</v>
      </c>
      <c r="E33" s="6">
        <f>WORKDAY(E28,1)</f>
        <v>45903</v>
      </c>
      <c r="F33" s="6">
        <f>WORKDAY(E33,D33)</f>
        <v>45908</v>
      </c>
      <c r="G33" s="6">
        <v>45903</v>
      </c>
      <c r="H33" s="6">
        <v>45908</v>
      </c>
      <c r="I33" s="4" t="s">
        <v>18</v>
      </c>
      <c r="J33" s="4" t="s">
        <v>15</v>
      </c>
      <c r="K33" s="4"/>
      <c r="L33" s="4"/>
      <c r="M33" s="4"/>
    </row>
    <row r="34" spans="1:13" x14ac:dyDescent="0.25">
      <c r="A34" s="4">
        <v>33</v>
      </c>
      <c r="B34" s="30" t="s">
        <v>61</v>
      </c>
      <c r="C34" s="5"/>
      <c r="D34" s="5"/>
      <c r="E34" s="6">
        <f>F31</f>
        <v>45911</v>
      </c>
      <c r="F34" s="6">
        <f>E34</f>
        <v>45911</v>
      </c>
      <c r="G34" s="6">
        <v>45911</v>
      </c>
      <c r="H34" s="6">
        <v>45911</v>
      </c>
      <c r="I34" s="4" t="s">
        <v>18</v>
      </c>
      <c r="J34" s="4" t="s">
        <v>15</v>
      </c>
      <c r="K34" s="4" t="s">
        <v>36</v>
      </c>
      <c r="L34" s="4"/>
      <c r="M34" s="9"/>
    </row>
    <row r="35" spans="1:13" ht="12" customHeight="1" x14ac:dyDescent="0.25">
      <c r="A35" s="4">
        <v>34</v>
      </c>
      <c r="B35" s="5" t="s">
        <v>62</v>
      </c>
      <c r="C35" s="5"/>
      <c r="D35" s="5">
        <v>5</v>
      </c>
      <c r="E35" s="6">
        <f>E30</f>
        <v>45908</v>
      </c>
      <c r="F35" s="6">
        <f>WORKDAY(E35,D35)</f>
        <v>45915</v>
      </c>
      <c r="G35" s="6">
        <v>45908</v>
      </c>
      <c r="H35" s="6">
        <v>45915</v>
      </c>
      <c r="I35" s="4" t="s">
        <v>20</v>
      </c>
      <c r="J35" s="4" t="s">
        <v>15</v>
      </c>
      <c r="K35" s="4"/>
      <c r="L35" s="4"/>
      <c r="M35" s="4"/>
    </row>
    <row r="36" spans="1:13" ht="12" customHeight="1" x14ac:dyDescent="0.25">
      <c r="A36" s="4">
        <v>35</v>
      </c>
      <c r="B36" s="5" t="s">
        <v>63</v>
      </c>
      <c r="C36" s="5"/>
      <c r="D36" s="5">
        <v>6</v>
      </c>
      <c r="E36" s="6">
        <f>WORKDAY(F35,1)</f>
        <v>45916</v>
      </c>
      <c r="F36" s="6">
        <f>WORKDAY(E36,D36)</f>
        <v>45924</v>
      </c>
      <c r="G36" s="6">
        <v>45916</v>
      </c>
      <c r="H36" s="6"/>
      <c r="I36" s="4" t="s">
        <v>20</v>
      </c>
      <c r="J36" s="4" t="s">
        <v>15</v>
      </c>
      <c r="K36" s="4" t="s">
        <v>36</v>
      </c>
      <c r="L36" s="15" t="s">
        <v>64</v>
      </c>
      <c r="M36" s="4"/>
    </row>
    <row r="37" spans="1:13" x14ac:dyDescent="0.25">
      <c r="A37" s="4">
        <v>36</v>
      </c>
      <c r="B37" s="5" t="s">
        <v>65</v>
      </c>
      <c r="C37" s="5"/>
      <c r="D37" s="5">
        <v>4</v>
      </c>
      <c r="E37" s="6">
        <f>WORKDAY(F36,1)</f>
        <v>45925</v>
      </c>
      <c r="F37" s="6">
        <f>WORKDAY(E37,D37)</f>
        <v>45931</v>
      </c>
      <c r="G37" s="6">
        <v>45925</v>
      </c>
      <c r="H37" s="6">
        <v>45931</v>
      </c>
      <c r="I37" s="4" t="s">
        <v>18</v>
      </c>
      <c r="J37" s="4" t="s">
        <v>15</v>
      </c>
      <c r="K37" s="4"/>
      <c r="L37" s="4"/>
      <c r="M37" s="4"/>
    </row>
    <row r="38" spans="1:13" ht="12" customHeight="1" x14ac:dyDescent="0.25">
      <c r="A38" s="4">
        <v>37</v>
      </c>
      <c r="B38" s="5" t="s">
        <v>66</v>
      </c>
      <c r="C38" s="5"/>
      <c r="D38" s="5">
        <v>3</v>
      </c>
      <c r="E38" s="6">
        <f>WORKDAY(F36,1)</f>
        <v>45925</v>
      </c>
      <c r="F38" s="6">
        <f>WORKDAY(E38,D38)</f>
        <v>45930</v>
      </c>
      <c r="G38" s="6">
        <v>45925</v>
      </c>
      <c r="H38" s="6">
        <v>45930</v>
      </c>
      <c r="I38" s="4" t="s">
        <v>18</v>
      </c>
      <c r="J38" s="4" t="s">
        <v>15</v>
      </c>
      <c r="K38" s="4"/>
      <c r="L38" s="4"/>
      <c r="M38" s="4"/>
    </row>
    <row r="39" spans="1:13" ht="12" customHeight="1" x14ac:dyDescent="0.25">
      <c r="A39" s="4">
        <v>3</v>
      </c>
      <c r="B39" s="5" t="s">
        <v>67</v>
      </c>
      <c r="C39" s="5"/>
      <c r="D39" s="5">
        <v>2</v>
      </c>
      <c r="E39" s="6">
        <f>WORKDAY(F38,1)</f>
        <v>45931</v>
      </c>
      <c r="F39" s="6">
        <f>WORKDAY(E39,D39)</f>
        <v>45933</v>
      </c>
      <c r="G39" s="6">
        <v>45931</v>
      </c>
      <c r="H39" s="6">
        <v>45933</v>
      </c>
      <c r="I39" s="4" t="s">
        <v>20</v>
      </c>
      <c r="J39" s="4" t="s">
        <v>15</v>
      </c>
      <c r="K39" s="4"/>
      <c r="L39" s="4"/>
      <c r="M39" s="4"/>
    </row>
    <row r="40" spans="1:13" ht="12" customHeight="1" x14ac:dyDescent="0.25">
      <c r="A40" s="4">
        <v>39</v>
      </c>
      <c r="B40" s="5" t="s">
        <v>68</v>
      </c>
      <c r="C40" s="5"/>
      <c r="D40" s="5">
        <v>17</v>
      </c>
      <c r="E40" s="6">
        <f>WORKDAY(E35,1)</f>
        <v>45909</v>
      </c>
      <c r="F40" s="6">
        <f>F39</f>
        <v>45933</v>
      </c>
      <c r="G40" s="6">
        <v>45909</v>
      </c>
      <c r="H40" s="6">
        <v>45933</v>
      </c>
      <c r="I40" s="4" t="s">
        <v>20</v>
      </c>
      <c r="J40" s="4" t="s">
        <v>15</v>
      </c>
      <c r="K40" s="4"/>
      <c r="L40" s="4"/>
      <c r="M40" s="4"/>
    </row>
    <row r="41" spans="1:13" ht="39.6" x14ac:dyDescent="0.25">
      <c r="A41" s="4">
        <v>40</v>
      </c>
      <c r="B41" s="7" t="s">
        <v>69</v>
      </c>
      <c r="C41" s="7"/>
      <c r="D41" s="7">
        <v>10</v>
      </c>
      <c r="E41" s="6">
        <f>WORKDAY(F40,1)</f>
        <v>45936</v>
      </c>
      <c r="F41" s="6">
        <f>WORKDAY(E41,D41)</f>
        <v>45950</v>
      </c>
      <c r="G41" s="6">
        <v>45937</v>
      </c>
      <c r="H41" s="6"/>
      <c r="I41" s="4" t="s">
        <v>20</v>
      </c>
      <c r="J41" s="4" t="s">
        <v>31</v>
      </c>
      <c r="K41" s="4" t="s">
        <v>53</v>
      </c>
      <c r="L41" s="9" t="s">
        <v>70</v>
      </c>
      <c r="M41" s="10"/>
    </row>
    <row r="42" spans="1:13" ht="12" customHeight="1" x14ac:dyDescent="0.25">
      <c r="A42" s="4">
        <v>41</v>
      </c>
      <c r="B42" s="7" t="s">
        <v>71</v>
      </c>
      <c r="C42" s="7"/>
      <c r="D42" s="7"/>
      <c r="E42" s="6">
        <f>F41</f>
        <v>45950</v>
      </c>
      <c r="F42" s="6">
        <f>E42</f>
        <v>45950</v>
      </c>
      <c r="G42" s="6"/>
      <c r="H42" s="6"/>
      <c r="I42" s="4" t="s">
        <v>20</v>
      </c>
      <c r="J42" s="4"/>
      <c r="K42" s="4"/>
      <c r="L42" s="4"/>
      <c r="M42" s="4"/>
    </row>
    <row r="43" spans="1:13" s="14" customFormat="1" ht="12" customHeight="1" x14ac:dyDescent="0.25">
      <c r="A43" s="4">
        <v>42</v>
      </c>
      <c r="B43" s="11" t="s">
        <v>72</v>
      </c>
      <c r="C43" s="11"/>
      <c r="D43" s="11"/>
      <c r="E43" s="12">
        <f>E42</f>
        <v>45950</v>
      </c>
      <c r="F43" s="12">
        <f>F42</f>
        <v>45950</v>
      </c>
      <c r="G43" s="12"/>
      <c r="H43" s="13"/>
      <c r="I43" s="8" t="s">
        <v>20</v>
      </c>
      <c r="J43" s="8"/>
      <c r="K43" s="8"/>
      <c r="L43" s="8"/>
      <c r="M43" s="8"/>
    </row>
    <row r="44" spans="1:13" s="14" customFormat="1" ht="12" customHeight="1" x14ac:dyDescent="0.25">
      <c r="A44" s="4">
        <v>43</v>
      </c>
      <c r="B44" s="29" t="s">
        <v>73</v>
      </c>
      <c r="C44" s="11"/>
      <c r="D44" s="11"/>
      <c r="E44" s="12">
        <f>F42</f>
        <v>45950</v>
      </c>
      <c r="F44" s="6">
        <f>WORKDAY(E44,D44)</f>
        <v>45950</v>
      </c>
      <c r="G44" s="12"/>
      <c r="H44" s="13"/>
      <c r="I44" s="8" t="s">
        <v>20</v>
      </c>
      <c r="J44" s="8"/>
      <c r="K44" s="8"/>
      <c r="L44" s="8"/>
      <c r="M44" s="8"/>
    </row>
    <row r="45" spans="1:13" s="14" customFormat="1" ht="12" customHeight="1" x14ac:dyDescent="0.25">
      <c r="A45" s="4">
        <v>44</v>
      </c>
      <c r="B45" s="11" t="s">
        <v>74</v>
      </c>
      <c r="C45" s="11"/>
      <c r="D45" s="11">
        <v>4</v>
      </c>
      <c r="E45" s="6">
        <f>WORKDAY(F43,1)</f>
        <v>45951</v>
      </c>
      <c r="F45" s="6">
        <f>WORKDAY(E45,D45)</f>
        <v>45957</v>
      </c>
      <c r="G45" s="12"/>
      <c r="H45" s="13"/>
      <c r="I45" s="8" t="s">
        <v>20</v>
      </c>
      <c r="J45" s="8"/>
      <c r="K45" s="8"/>
      <c r="L45" s="8"/>
      <c r="M45" s="8"/>
    </row>
    <row r="46" spans="1:13" s="14" customFormat="1" ht="12" customHeight="1" x14ac:dyDescent="0.25">
      <c r="A46" s="4">
        <v>45</v>
      </c>
      <c r="B46" s="11" t="s">
        <v>75</v>
      </c>
      <c r="C46" s="11"/>
      <c r="D46" s="11">
        <v>3</v>
      </c>
      <c r="E46" s="6">
        <f>WORKDAY(F45,1)</f>
        <v>45958</v>
      </c>
      <c r="F46" s="6">
        <f>WORKDAY(E46,D46)</f>
        <v>45961</v>
      </c>
      <c r="G46" s="12"/>
      <c r="H46" s="13"/>
      <c r="I46" s="8" t="s">
        <v>20</v>
      </c>
      <c r="J46" s="8"/>
      <c r="K46" s="8"/>
      <c r="L46" s="8"/>
      <c r="M46" s="8"/>
    </row>
    <row r="47" spans="1:13" ht="12" customHeight="1" x14ac:dyDescent="0.25">
      <c r="A47" s="4">
        <v>46</v>
      </c>
      <c r="B47" s="15" t="s">
        <v>76</v>
      </c>
      <c r="C47" s="15"/>
      <c r="D47" s="15"/>
      <c r="E47" s="6">
        <f>WORKDAY(F46,1)</f>
        <v>45964</v>
      </c>
      <c r="F47" s="16">
        <f>E47</f>
        <v>45964</v>
      </c>
      <c r="G47" s="4"/>
      <c r="H47" s="4"/>
      <c r="I47" s="4" t="s">
        <v>20</v>
      </c>
      <c r="J47" s="4"/>
      <c r="K47" s="4"/>
      <c r="L47" s="4"/>
      <c r="M47" s="4"/>
    </row>
  </sheetData>
  <mergeCells count="1">
    <mergeCell ref="L29:L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abSelected="1" zoomScale="74"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8.77734375" defaultRowHeight="10.199999999999999" x14ac:dyDescent="0.2"/>
  <cols>
    <col min="1" max="1" width="36" style="32" customWidth="1"/>
    <col min="2" max="2" width="67.21875" style="32" customWidth="1"/>
    <col min="3" max="3" width="7.5546875" style="32" bestFit="1" customWidth="1"/>
    <col min="4" max="4" width="15.44140625" style="33" bestFit="1" customWidth="1"/>
    <col min="5" max="5" width="14.5546875" style="33" bestFit="1" customWidth="1"/>
    <col min="6" max="6" width="14" style="33" bestFit="1" customWidth="1"/>
    <col min="7" max="7" width="13.21875" style="33" bestFit="1" customWidth="1"/>
    <col min="8" max="8" width="11.21875" style="33" customWidth="1"/>
    <col min="9" max="9" width="14.5546875" style="33" bestFit="1" customWidth="1"/>
    <col min="10" max="10" width="41.77734375" style="33" customWidth="1"/>
    <col min="11" max="16384" width="8.77734375" style="33"/>
  </cols>
  <sheetData>
    <row r="1" spans="1:10" ht="14.55" customHeight="1" x14ac:dyDescent="0.2">
      <c r="A1" s="45" t="s">
        <v>1</v>
      </c>
      <c r="B1" s="45" t="s">
        <v>77</v>
      </c>
      <c r="C1" s="45" t="s">
        <v>3</v>
      </c>
      <c r="D1" s="46" t="s">
        <v>4</v>
      </c>
      <c r="E1" s="46" t="s">
        <v>5</v>
      </c>
      <c r="F1" s="46" t="s">
        <v>6</v>
      </c>
      <c r="G1" s="46" t="s">
        <v>7</v>
      </c>
      <c r="H1" s="46" t="s">
        <v>8</v>
      </c>
      <c r="I1" s="46" t="s">
        <v>9</v>
      </c>
      <c r="J1" s="46" t="s">
        <v>78</v>
      </c>
    </row>
    <row r="2" spans="1:10" ht="14.55" customHeight="1" x14ac:dyDescent="0.2">
      <c r="A2" s="44" t="s">
        <v>79</v>
      </c>
      <c r="B2" s="48"/>
      <c r="C2" s="48"/>
      <c r="D2" s="40"/>
      <c r="E2" s="47"/>
      <c r="F2" s="49"/>
      <c r="G2" s="49"/>
      <c r="H2" s="49" t="s">
        <v>14</v>
      </c>
      <c r="I2" s="49" t="s">
        <v>80</v>
      </c>
      <c r="J2" s="49"/>
    </row>
    <row r="3" spans="1:10" ht="14.55" customHeight="1" x14ac:dyDescent="0.3">
      <c r="A3" s="35" t="s">
        <v>13</v>
      </c>
      <c r="B3" s="52" t="s">
        <v>81</v>
      </c>
      <c r="C3" s="35">
        <v>0</v>
      </c>
      <c r="D3" s="40"/>
      <c r="E3" s="47"/>
      <c r="F3" s="40"/>
      <c r="G3" s="40"/>
      <c r="H3" s="41" t="s">
        <v>134</v>
      </c>
      <c r="I3" s="41" t="s">
        <v>82</v>
      </c>
      <c r="J3" s="41"/>
    </row>
    <row r="4" spans="1:10" ht="14.55" customHeight="1" x14ac:dyDescent="0.3">
      <c r="A4" s="35" t="s">
        <v>83</v>
      </c>
      <c r="B4" s="52" t="s">
        <v>84</v>
      </c>
      <c r="C4" s="35">
        <v>0</v>
      </c>
      <c r="D4" s="40"/>
      <c r="E4" s="47"/>
      <c r="F4" s="40"/>
      <c r="G4" s="40"/>
      <c r="H4" s="41" t="s">
        <v>134</v>
      </c>
      <c r="I4" s="41" t="s">
        <v>82</v>
      </c>
      <c r="J4" s="41"/>
    </row>
    <row r="5" spans="1:10" ht="14.55" customHeight="1" x14ac:dyDescent="0.3">
      <c r="A5" s="35" t="s">
        <v>19</v>
      </c>
      <c r="B5" s="52" t="s">
        <v>85</v>
      </c>
      <c r="C5" s="35">
        <v>15</v>
      </c>
      <c r="D5" s="40"/>
      <c r="E5" s="47"/>
      <c r="F5" s="40"/>
      <c r="G5" s="40"/>
      <c r="H5" s="41" t="s">
        <v>151</v>
      </c>
      <c r="I5" s="41" t="s">
        <v>80</v>
      </c>
      <c r="J5" s="41"/>
    </row>
    <row r="6" spans="1:10" ht="14.55" customHeight="1" x14ac:dyDescent="0.3">
      <c r="A6" s="35" t="s">
        <v>21</v>
      </c>
      <c r="B6" s="50" t="s">
        <v>86</v>
      </c>
      <c r="C6" s="35">
        <v>0</v>
      </c>
      <c r="D6" s="40"/>
      <c r="E6" s="47"/>
      <c r="F6" s="40"/>
      <c r="G6" s="40"/>
      <c r="H6" s="41" t="s">
        <v>151</v>
      </c>
      <c r="I6" s="41" t="s">
        <v>87</v>
      </c>
      <c r="J6" s="41"/>
    </row>
    <row r="7" spans="1:10" ht="14.55" customHeight="1" x14ac:dyDescent="0.3">
      <c r="A7" s="35" t="s">
        <v>88</v>
      </c>
      <c r="B7" s="51" t="s">
        <v>89</v>
      </c>
      <c r="C7" s="35">
        <v>0</v>
      </c>
      <c r="D7" s="40"/>
      <c r="E7" s="47"/>
      <c r="F7" s="40"/>
      <c r="G7" s="40"/>
      <c r="H7" s="41" t="s">
        <v>132</v>
      </c>
      <c r="I7" s="41" t="s">
        <v>87</v>
      </c>
      <c r="J7" s="41"/>
    </row>
    <row r="8" spans="1:10" ht="14.55" customHeight="1" x14ac:dyDescent="0.3">
      <c r="A8" s="35" t="s">
        <v>90</v>
      </c>
      <c r="B8" s="51" t="s">
        <v>91</v>
      </c>
      <c r="C8" s="35">
        <v>0</v>
      </c>
      <c r="D8" s="40"/>
      <c r="E8" s="47"/>
      <c r="F8" s="40"/>
      <c r="G8" s="40"/>
      <c r="H8" s="41" t="s">
        <v>132</v>
      </c>
      <c r="I8" s="41" t="s">
        <v>87</v>
      </c>
      <c r="J8" s="41"/>
    </row>
    <row r="9" spans="1:10" ht="14.55" customHeight="1" x14ac:dyDescent="0.3">
      <c r="A9" s="35" t="s">
        <v>35</v>
      </c>
      <c r="B9" s="35" t="s">
        <v>92</v>
      </c>
      <c r="C9" s="35">
        <v>0</v>
      </c>
      <c r="D9" s="40"/>
      <c r="E9" s="47"/>
      <c r="F9" s="40"/>
      <c r="G9" s="40"/>
      <c r="H9" s="41" t="s">
        <v>137</v>
      </c>
      <c r="I9" s="41" t="s">
        <v>87</v>
      </c>
      <c r="J9" s="41"/>
    </row>
    <row r="10" spans="1:10" ht="14.55" customHeight="1" x14ac:dyDescent="0.3">
      <c r="A10" s="35" t="s">
        <v>27</v>
      </c>
      <c r="B10" s="52" t="s">
        <v>93</v>
      </c>
      <c r="C10" s="35">
        <v>0</v>
      </c>
      <c r="D10" s="40"/>
      <c r="E10" s="47"/>
      <c r="F10" s="40"/>
      <c r="G10" s="40"/>
      <c r="H10" s="41" t="s">
        <v>134</v>
      </c>
      <c r="I10" s="41" t="s">
        <v>87</v>
      </c>
      <c r="J10" s="41"/>
    </row>
    <row r="11" spans="1:10" ht="14.55" customHeight="1" x14ac:dyDescent="0.3">
      <c r="A11" s="35" t="s">
        <v>94</v>
      </c>
      <c r="B11" s="52" t="s">
        <v>95</v>
      </c>
      <c r="C11" s="35">
        <v>5</v>
      </c>
      <c r="D11" s="40"/>
      <c r="E11" s="47"/>
      <c r="F11" s="40"/>
      <c r="G11" s="40"/>
      <c r="H11" s="41" t="s">
        <v>134</v>
      </c>
      <c r="I11" s="41" t="s">
        <v>87</v>
      </c>
      <c r="J11" s="41"/>
    </row>
    <row r="12" spans="1:10" ht="14.55" customHeight="1" x14ac:dyDescent="0.3">
      <c r="A12" s="35" t="s">
        <v>96</v>
      </c>
      <c r="B12" s="52" t="s">
        <v>97</v>
      </c>
      <c r="C12" s="35">
        <v>2</v>
      </c>
      <c r="D12" s="40"/>
      <c r="E12" s="47"/>
      <c r="F12" s="40"/>
      <c r="G12" s="40"/>
      <c r="H12" s="41" t="s">
        <v>151</v>
      </c>
      <c r="I12" s="41" t="s">
        <v>87</v>
      </c>
      <c r="J12" s="41"/>
    </row>
    <row r="13" spans="1:10" ht="14.55" customHeight="1" x14ac:dyDescent="0.3">
      <c r="A13" s="35" t="s">
        <v>60</v>
      </c>
      <c r="B13" s="52" t="s">
        <v>98</v>
      </c>
      <c r="C13" s="35">
        <v>2</v>
      </c>
      <c r="D13" s="40"/>
      <c r="E13" s="47"/>
      <c r="F13" s="40"/>
      <c r="G13" s="40"/>
      <c r="H13" s="41" t="s">
        <v>132</v>
      </c>
      <c r="I13" s="41" t="s">
        <v>87</v>
      </c>
      <c r="J13" s="41"/>
    </row>
    <row r="14" spans="1:10" ht="14.55" customHeight="1" x14ac:dyDescent="0.3">
      <c r="A14" s="35" t="s">
        <v>61</v>
      </c>
      <c r="B14" s="52" t="s">
        <v>99</v>
      </c>
      <c r="C14" s="35">
        <v>0</v>
      </c>
      <c r="D14" s="40"/>
      <c r="E14" s="47"/>
      <c r="F14" s="40"/>
      <c r="G14" s="40"/>
      <c r="H14" s="41" t="s">
        <v>132</v>
      </c>
      <c r="I14" s="41" t="s">
        <v>87</v>
      </c>
      <c r="J14" s="43"/>
    </row>
    <row r="15" spans="1:10" ht="14.55" customHeight="1" x14ac:dyDescent="0.3">
      <c r="A15" s="35" t="s">
        <v>46</v>
      </c>
      <c r="B15" s="52" t="s">
        <v>100</v>
      </c>
      <c r="C15" s="35">
        <f>E15-D15</f>
        <v>0</v>
      </c>
      <c r="D15" s="40"/>
      <c r="E15" s="47"/>
      <c r="F15" s="40"/>
      <c r="G15" s="40"/>
      <c r="H15" s="41" t="s">
        <v>137</v>
      </c>
      <c r="I15" s="41" t="s">
        <v>87</v>
      </c>
      <c r="J15" s="41"/>
    </row>
    <row r="16" spans="1:10" ht="14.55" customHeight="1" x14ac:dyDescent="0.3">
      <c r="A16" s="35" t="s">
        <v>101</v>
      </c>
      <c r="B16" s="52" t="s">
        <v>102</v>
      </c>
      <c r="C16" s="35">
        <v>2</v>
      </c>
      <c r="D16" s="40"/>
      <c r="E16" s="47"/>
      <c r="F16" s="40"/>
      <c r="G16" s="40"/>
      <c r="H16" s="41" t="s">
        <v>137</v>
      </c>
      <c r="I16" s="41" t="s">
        <v>87</v>
      </c>
      <c r="J16" s="41"/>
    </row>
    <row r="17" spans="1:11" ht="14.55" customHeight="1" x14ac:dyDescent="0.3">
      <c r="A17" s="35" t="s">
        <v>103</v>
      </c>
      <c r="B17" s="52" t="s">
        <v>104</v>
      </c>
      <c r="C17" s="35">
        <v>2</v>
      </c>
      <c r="D17" s="40"/>
      <c r="E17" s="47"/>
      <c r="F17" s="40"/>
      <c r="G17" s="40"/>
      <c r="H17" s="41" t="s">
        <v>151</v>
      </c>
      <c r="I17" s="41" t="s">
        <v>87</v>
      </c>
      <c r="J17" s="41"/>
    </row>
    <row r="18" spans="1:11" ht="14.55" customHeight="1" x14ac:dyDescent="0.3">
      <c r="A18" s="35" t="s">
        <v>105</v>
      </c>
      <c r="B18" s="52" t="s">
        <v>106</v>
      </c>
      <c r="C18" s="35">
        <v>2</v>
      </c>
      <c r="D18" s="40"/>
      <c r="E18" s="47"/>
      <c r="F18" s="40"/>
      <c r="G18" s="40"/>
      <c r="H18" s="41" t="s">
        <v>137</v>
      </c>
      <c r="I18" s="41" t="s">
        <v>87</v>
      </c>
      <c r="J18" s="41"/>
    </row>
    <row r="19" spans="1:11" ht="14.55" customHeight="1" x14ac:dyDescent="0.3">
      <c r="A19" s="35" t="s">
        <v>107</v>
      </c>
      <c r="B19" s="35" t="s">
        <v>108</v>
      </c>
      <c r="C19" s="35">
        <v>3</v>
      </c>
      <c r="D19" s="40"/>
      <c r="E19" s="47"/>
      <c r="F19" s="40"/>
      <c r="G19" s="40"/>
      <c r="H19" s="41" t="s">
        <v>152</v>
      </c>
      <c r="I19" s="41" t="s">
        <v>87</v>
      </c>
      <c r="J19" s="41"/>
    </row>
    <row r="20" spans="1:11" ht="14.55" customHeight="1" x14ac:dyDescent="0.3">
      <c r="A20" s="35" t="s">
        <v>109</v>
      </c>
      <c r="B20" s="35" t="s">
        <v>108</v>
      </c>
      <c r="C20" s="35">
        <v>0</v>
      </c>
      <c r="D20" s="40"/>
      <c r="E20" s="47"/>
      <c r="F20" s="40"/>
      <c r="G20" s="40"/>
      <c r="H20" s="41" t="s">
        <v>152</v>
      </c>
      <c r="I20" s="41" t="s">
        <v>87</v>
      </c>
      <c r="J20" s="41"/>
    </row>
    <row r="21" spans="1:11" ht="39" customHeight="1" x14ac:dyDescent="0.3">
      <c r="A21" s="35" t="s">
        <v>110</v>
      </c>
      <c r="B21" s="35" t="s">
        <v>108</v>
      </c>
      <c r="C21" s="35">
        <v>0</v>
      </c>
      <c r="D21" s="40"/>
      <c r="E21" s="47"/>
      <c r="F21" s="40"/>
      <c r="G21" s="40"/>
      <c r="H21" s="41" t="s">
        <v>152</v>
      </c>
      <c r="I21" s="41" t="s">
        <v>87</v>
      </c>
      <c r="J21" s="41"/>
    </row>
    <row r="22" spans="1:11" ht="14.55" customHeight="1" x14ac:dyDescent="0.3">
      <c r="A22" s="35" t="s">
        <v>111</v>
      </c>
      <c r="B22" s="35" t="s">
        <v>108</v>
      </c>
      <c r="C22" s="35">
        <v>0</v>
      </c>
      <c r="D22" s="40"/>
      <c r="E22" s="47"/>
      <c r="F22" s="40"/>
      <c r="G22" s="40"/>
      <c r="H22" s="41" t="s">
        <v>152</v>
      </c>
      <c r="I22" s="41" t="s">
        <v>87</v>
      </c>
      <c r="J22" s="41"/>
    </row>
    <row r="23" spans="1:11" ht="14.55" customHeight="1" x14ac:dyDescent="0.3">
      <c r="A23" s="35" t="s">
        <v>34</v>
      </c>
      <c r="B23" s="52" t="s">
        <v>112</v>
      </c>
      <c r="C23" s="35">
        <v>0</v>
      </c>
      <c r="D23" s="40"/>
      <c r="E23" s="47"/>
      <c r="F23" s="40"/>
      <c r="G23" s="40"/>
      <c r="H23" s="41" t="s">
        <v>132</v>
      </c>
      <c r="I23" s="41" t="s">
        <v>87</v>
      </c>
      <c r="J23" s="41"/>
    </row>
    <row r="24" spans="1:11" ht="27" customHeight="1" x14ac:dyDescent="0.3">
      <c r="A24" s="35" t="s">
        <v>113</v>
      </c>
      <c r="B24" s="53" t="s">
        <v>114</v>
      </c>
      <c r="C24" s="35">
        <v>0</v>
      </c>
      <c r="D24" s="40"/>
      <c r="E24" s="47"/>
      <c r="F24" s="40"/>
      <c r="G24" s="40"/>
      <c r="H24" s="41" t="s">
        <v>152</v>
      </c>
      <c r="I24" s="41" t="s">
        <v>87</v>
      </c>
      <c r="J24" s="41"/>
    </row>
    <row r="25" spans="1:11" ht="14.55" customHeight="1" x14ac:dyDescent="0.3">
      <c r="A25" s="35" t="s">
        <v>115</v>
      </c>
      <c r="B25" s="52" t="s">
        <v>116</v>
      </c>
      <c r="C25" s="35">
        <v>0</v>
      </c>
      <c r="D25" s="40"/>
      <c r="E25" s="47"/>
      <c r="F25" s="40"/>
      <c r="G25" s="40"/>
      <c r="H25" s="41" t="s">
        <v>151</v>
      </c>
      <c r="I25" s="41" t="s">
        <v>87</v>
      </c>
      <c r="J25" s="41"/>
    </row>
    <row r="26" spans="1:11" ht="14.55" customHeight="1" x14ac:dyDescent="0.3">
      <c r="A26" s="35" t="s">
        <v>117</v>
      </c>
      <c r="B26" s="52" t="s">
        <v>118</v>
      </c>
      <c r="C26" s="35">
        <v>0</v>
      </c>
      <c r="D26" s="40"/>
      <c r="E26" s="47"/>
      <c r="F26" s="40"/>
      <c r="G26" s="40"/>
      <c r="H26" s="41" t="s">
        <v>151</v>
      </c>
      <c r="I26" s="41" t="s">
        <v>87</v>
      </c>
      <c r="J26" s="41"/>
    </row>
    <row r="27" spans="1:11" ht="14.55" customHeight="1" x14ac:dyDescent="0.3">
      <c r="A27" s="35" t="s">
        <v>71</v>
      </c>
      <c r="B27" s="52" t="s">
        <v>119</v>
      </c>
      <c r="C27" s="35">
        <v>0</v>
      </c>
      <c r="D27" s="40"/>
      <c r="E27" s="47"/>
      <c r="F27" s="40"/>
      <c r="G27" s="40"/>
      <c r="H27" s="41" t="s">
        <v>151</v>
      </c>
      <c r="I27" s="41" t="s">
        <v>87</v>
      </c>
      <c r="J27" s="41"/>
    </row>
    <row r="28" spans="1:11" ht="14.55" customHeight="1" x14ac:dyDescent="0.3">
      <c r="A28" s="35" t="s">
        <v>120</v>
      </c>
      <c r="B28" s="52" t="s">
        <v>121</v>
      </c>
      <c r="C28" s="35">
        <v>2</v>
      </c>
      <c r="D28" s="40"/>
      <c r="E28" s="47"/>
      <c r="F28" s="40"/>
      <c r="G28" s="40"/>
      <c r="H28" s="41" t="s">
        <v>151</v>
      </c>
      <c r="I28" s="41" t="s">
        <v>87</v>
      </c>
      <c r="J28" s="41"/>
    </row>
    <row r="29" spans="1:11" s="34" customFormat="1" ht="14.55" customHeight="1" x14ac:dyDescent="0.3">
      <c r="A29" s="35" t="s">
        <v>122</v>
      </c>
      <c r="B29" s="52" t="s">
        <v>123</v>
      </c>
      <c r="C29" s="35">
        <v>5</v>
      </c>
      <c r="D29" s="40"/>
      <c r="E29" s="47"/>
      <c r="F29" s="40"/>
      <c r="G29" s="54"/>
      <c r="H29" s="41" t="s">
        <v>137</v>
      </c>
      <c r="I29" s="41" t="s">
        <v>87</v>
      </c>
      <c r="J29" s="41"/>
      <c r="K29" s="33"/>
    </row>
    <row r="30" spans="1:11" s="34" customFormat="1" ht="14.55" customHeight="1" x14ac:dyDescent="0.3">
      <c r="A30" s="35" t="s">
        <v>124</v>
      </c>
      <c r="B30" s="52" t="s">
        <v>125</v>
      </c>
      <c r="C30" s="35">
        <v>2</v>
      </c>
      <c r="D30" s="40"/>
      <c r="E30" s="47"/>
      <c r="F30" s="40"/>
      <c r="G30" s="42"/>
      <c r="H30" s="41" t="s">
        <v>151</v>
      </c>
      <c r="I30" s="41" t="s">
        <v>87</v>
      </c>
      <c r="J30" s="41"/>
      <c r="K30" s="33"/>
    </row>
    <row r="31" spans="1:11" s="34" customFormat="1" ht="14.55" customHeight="1" x14ac:dyDescent="0.3">
      <c r="A31" s="35" t="s">
        <v>63</v>
      </c>
      <c r="B31" s="52" t="s">
        <v>126</v>
      </c>
      <c r="C31" s="35">
        <v>3</v>
      </c>
      <c r="D31" s="40"/>
      <c r="E31" s="47"/>
      <c r="F31" s="40"/>
      <c r="G31" s="42"/>
      <c r="H31" s="41" t="s">
        <v>151</v>
      </c>
      <c r="I31" s="41" t="s">
        <v>87</v>
      </c>
      <c r="J31" s="41"/>
      <c r="K31" s="33"/>
    </row>
    <row r="32" spans="1:11" s="34" customFormat="1" ht="14.55" customHeight="1" x14ac:dyDescent="0.3">
      <c r="A32" s="35" t="s">
        <v>75</v>
      </c>
      <c r="B32" s="52" t="s">
        <v>127</v>
      </c>
      <c r="C32" s="35">
        <v>2</v>
      </c>
      <c r="D32" s="40"/>
      <c r="E32" s="47"/>
      <c r="F32" s="40"/>
      <c r="G32" s="42"/>
      <c r="H32" s="41" t="s">
        <v>151</v>
      </c>
      <c r="I32" s="41" t="s">
        <v>87</v>
      </c>
      <c r="J32" s="41"/>
      <c r="K32" s="33"/>
    </row>
    <row r="33" spans="1:10" ht="14.55" customHeight="1" x14ac:dyDescent="0.3">
      <c r="A33" s="43" t="s">
        <v>76</v>
      </c>
      <c r="B33" s="52" t="s">
        <v>128</v>
      </c>
      <c r="C33" s="43">
        <v>2</v>
      </c>
      <c r="D33" s="40"/>
      <c r="E33" s="47"/>
      <c r="F33" s="41"/>
      <c r="G33" s="41"/>
      <c r="H33" s="41" t="s">
        <v>151</v>
      </c>
      <c r="I33" s="41" t="s">
        <v>87</v>
      </c>
      <c r="J33" s="41"/>
    </row>
  </sheetData>
  <autoFilter ref="A1:J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C13" sqref="C13"/>
    </sheetView>
  </sheetViews>
  <sheetFormatPr defaultRowHeight="14.4" x14ac:dyDescent="0.3"/>
  <cols>
    <col min="1" max="1" width="29.21875" bestFit="1" customWidth="1"/>
    <col min="2" max="2" width="44.77734375" customWidth="1"/>
    <col min="3" max="3" width="25.21875" bestFit="1" customWidth="1"/>
  </cols>
  <sheetData>
    <row r="1" spans="1:3" s="21" customFormat="1" x14ac:dyDescent="0.3">
      <c r="A1" s="20"/>
      <c r="B1" s="20"/>
    </row>
    <row r="2" spans="1:3" s="21" customFormat="1" x14ac:dyDescent="0.3">
      <c r="A2" s="20"/>
      <c r="B2" s="20"/>
    </row>
    <row r="3" spans="1:3" s="21" customFormat="1" x14ac:dyDescent="0.3">
      <c r="A3" s="20"/>
      <c r="B3" s="20"/>
    </row>
    <row r="4" spans="1:3" x14ac:dyDescent="0.3">
      <c r="A4" s="22" t="s">
        <v>129</v>
      </c>
      <c r="B4" s="22" t="s">
        <v>130</v>
      </c>
      <c r="C4" s="22" t="s">
        <v>131</v>
      </c>
    </row>
    <row r="5" spans="1:3" x14ac:dyDescent="0.3">
      <c r="A5" s="23" t="s">
        <v>132</v>
      </c>
      <c r="B5" s="36" t="s">
        <v>133</v>
      </c>
      <c r="C5" s="24"/>
    </row>
    <row r="6" spans="1:3" x14ac:dyDescent="0.3">
      <c r="A6" s="23" t="s">
        <v>134</v>
      </c>
      <c r="B6" s="36" t="s">
        <v>135</v>
      </c>
      <c r="C6" s="24" t="s">
        <v>136</v>
      </c>
    </row>
    <row r="7" spans="1:3" x14ac:dyDescent="0.3">
      <c r="A7" s="23" t="s">
        <v>137</v>
      </c>
      <c r="B7" s="36" t="s">
        <v>138</v>
      </c>
      <c r="C7" s="24"/>
    </row>
    <row r="8" spans="1:3" x14ac:dyDescent="0.3">
      <c r="A8" s="23"/>
      <c r="B8" s="23"/>
      <c r="C8" s="24"/>
    </row>
    <row r="9" spans="1:3" x14ac:dyDescent="0.3">
      <c r="A9" s="23"/>
      <c r="B9" s="23"/>
      <c r="C9" s="24"/>
    </row>
    <row r="10" spans="1:3" x14ac:dyDescent="0.3">
      <c r="A10" s="39"/>
      <c r="B10" s="39"/>
    </row>
    <row r="11" spans="1:3" x14ac:dyDescent="0.3">
      <c r="A11" s="22" t="s">
        <v>129</v>
      </c>
      <c r="B11" s="22" t="s">
        <v>139</v>
      </c>
      <c r="C11" s="22" t="s">
        <v>131</v>
      </c>
    </row>
    <row r="12" spans="1:3" x14ac:dyDescent="0.3">
      <c r="A12" s="23" t="s">
        <v>134</v>
      </c>
      <c r="B12" s="35" t="s">
        <v>140</v>
      </c>
      <c r="C12" s="24"/>
    </row>
    <row r="13" spans="1:3" x14ac:dyDescent="0.3">
      <c r="A13" s="37" t="s">
        <v>141</v>
      </c>
      <c r="B13" s="35" t="s">
        <v>142</v>
      </c>
      <c r="C13" s="24"/>
    </row>
    <row r="14" spans="1:3" x14ac:dyDescent="0.3">
      <c r="A14" s="37" t="s">
        <v>143</v>
      </c>
      <c r="B14" s="35" t="s">
        <v>144</v>
      </c>
      <c r="C14" s="24"/>
    </row>
    <row r="15" spans="1:3" x14ac:dyDescent="0.3">
      <c r="A15" s="37" t="s">
        <v>143</v>
      </c>
      <c r="B15" s="35" t="s">
        <v>145</v>
      </c>
      <c r="C15" s="24"/>
    </row>
    <row r="16" spans="1:3" x14ac:dyDescent="0.3">
      <c r="A16" s="37" t="s">
        <v>146</v>
      </c>
      <c r="B16" s="35" t="s">
        <v>147</v>
      </c>
      <c r="C16" s="24"/>
    </row>
    <row r="17" spans="1:3" x14ac:dyDescent="0.3">
      <c r="A17" s="37" t="s">
        <v>146</v>
      </c>
      <c r="B17" s="35" t="s">
        <v>148</v>
      </c>
      <c r="C17" s="24"/>
    </row>
    <row r="18" spans="1:3" x14ac:dyDescent="0.3">
      <c r="A18" s="37" t="s">
        <v>149</v>
      </c>
      <c r="B18" s="35" t="s">
        <v>147</v>
      </c>
      <c r="C18" s="24"/>
    </row>
    <row r="19" spans="1:3" x14ac:dyDescent="0.3">
      <c r="A19" s="37" t="s">
        <v>149</v>
      </c>
      <c r="B19" s="35" t="s">
        <v>148</v>
      </c>
      <c r="C19" s="24"/>
    </row>
    <row r="20" spans="1:3" x14ac:dyDescent="0.3">
      <c r="A20" s="37" t="s">
        <v>149</v>
      </c>
      <c r="B20" s="35" t="s">
        <v>150</v>
      </c>
      <c r="C20" s="24"/>
    </row>
    <row r="21" spans="1:3" x14ac:dyDescent="0.3">
      <c r="A21" s="38"/>
      <c r="B21" s="38"/>
    </row>
    <row r="22" spans="1:3" x14ac:dyDescent="0.3">
      <c r="A22" s="25"/>
      <c r="B22" s="25"/>
    </row>
    <row r="23" spans="1:3" x14ac:dyDescent="0.3">
      <c r="A23" s="25"/>
      <c r="B23" s="25"/>
    </row>
    <row r="24" spans="1:3" x14ac:dyDescent="0.3">
      <c r="A24" s="25"/>
      <c r="B24" s="2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137d12-c5e7-4bf8-ab63-816b90ba6850">
      <Terms xmlns="http://schemas.microsoft.com/office/infopath/2007/PartnerControls"/>
    </lcf76f155ced4ddcb4097134ff3c332f>
    <TaxCatchAll xmlns="cb26c466-b7e7-420d-9d7a-8be07dface07" xsi:nil="true"/>
    <_ip_UnifiedCompliancePolicyUIAction xmlns="http://schemas.microsoft.com/sharepoint/v3" xsi:nil="true"/>
    <Notes xmlns="97137d12-c5e7-4bf8-ab63-816b90ba6850" xsi:nil="true"/>
    <Type_x002f_DataAlignment xmlns="97137d12-c5e7-4bf8-ab63-816b90ba6850" xsi:nil="true"/>
    <_ip_UnifiedCompliancePolicyProperties xmlns="http://schemas.microsoft.com/sharepoint/v3" xsi:nil="true"/>
    <Portal xmlns="97137d12-c5e7-4bf8-ab63-816b90ba6850" xsi:nil="true"/>
    <Location xmlns="97137d12-c5e7-4bf8-ab63-816b90ba6850" xsi:nil="true"/>
    <Seismic_x0020_Tag xmlns="cb26c466-b7e7-420d-9d7a-8be07dface07">External</Seismic_x0020_Tag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1099EF27B6AF4E840B0175E06B61AC" ma:contentTypeVersion="36" ma:contentTypeDescription="Create a new document." ma:contentTypeScope="" ma:versionID="d32aeb1898e4dbbf3749a98e5099b001">
  <xsd:schema xmlns:xsd="http://www.w3.org/2001/XMLSchema" xmlns:xs="http://www.w3.org/2001/XMLSchema" xmlns:p="http://schemas.microsoft.com/office/2006/metadata/properties" xmlns:ns1="http://schemas.microsoft.com/sharepoint/v3" xmlns:ns2="97137d12-c5e7-4bf8-ab63-816b90ba6850" xmlns:ns3="cb26c466-b7e7-420d-9d7a-8be07dface07" targetNamespace="http://schemas.microsoft.com/office/2006/metadata/properties" ma:root="true" ma:fieldsID="4f5eab3b61314c59d4255656a94f3e1a" ns1:_="" ns2:_="" ns3:_="">
    <xsd:import namespace="http://schemas.microsoft.com/sharepoint/v3"/>
    <xsd:import namespace="97137d12-c5e7-4bf8-ab63-816b90ba6850"/>
    <xsd:import namespace="cb26c466-b7e7-420d-9d7a-8be07dfac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Location" minOccurs="0"/>
                <xsd:element ref="ns2:e3c4b6b6-1436-459b-a221-0c2a444e3382CountryOrRegion" minOccurs="0"/>
                <xsd:element ref="ns2:e3c4b6b6-1436-459b-a221-0c2a444e3382State" minOccurs="0"/>
                <xsd:element ref="ns2:e3c4b6b6-1436-459b-a221-0c2a444e3382City" minOccurs="0"/>
                <xsd:element ref="ns2:e3c4b6b6-1436-459b-a221-0c2a444e3382PostalCode" minOccurs="0"/>
                <xsd:element ref="ns2:e3c4b6b6-1436-459b-a221-0c2a444e3382Street" minOccurs="0"/>
                <xsd:element ref="ns2:e3c4b6b6-1436-459b-a221-0c2a444e3382GeoLoc" minOccurs="0"/>
                <xsd:element ref="ns2:e3c4b6b6-1436-459b-a221-0c2a444e3382DispNam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ortal" minOccurs="0"/>
                <xsd:element ref="ns2:MediaServiceObjectDetectorVersions" minOccurs="0"/>
                <xsd:element ref="ns2:Type_x002f_DataAlignment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3:Seismic_x0020_Tag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37d12-c5e7-4bf8-ab63-816b90ba6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Location" ma:index="18" nillable="true" ma:displayName="Source" ma:format="Dropdown" ma:internalName="Location">
      <xsd:simpleType>
        <xsd:restriction base="dms:Unknown"/>
      </xsd:simpleType>
    </xsd:element>
    <xsd:element name="e3c4b6b6-1436-459b-a221-0c2a444e3382CountryOrRegion" ma:index="19" nillable="true" ma:displayName="Location: Country/Region" ma:internalName="CountryOrRegion" ma:readOnly="true">
      <xsd:simpleType>
        <xsd:restriction base="dms:Text"/>
      </xsd:simpleType>
    </xsd:element>
    <xsd:element name="e3c4b6b6-1436-459b-a221-0c2a444e3382State" ma:index="20" nillable="true" ma:displayName="Location: State" ma:internalName="State" ma:readOnly="true">
      <xsd:simpleType>
        <xsd:restriction base="dms:Text"/>
      </xsd:simpleType>
    </xsd:element>
    <xsd:element name="e3c4b6b6-1436-459b-a221-0c2a444e3382City" ma:index="21" nillable="true" ma:displayName="Location: City" ma:internalName="City" ma:readOnly="true">
      <xsd:simpleType>
        <xsd:restriction base="dms:Text"/>
      </xsd:simpleType>
    </xsd:element>
    <xsd:element name="e3c4b6b6-1436-459b-a221-0c2a444e3382PostalCode" ma:index="22" nillable="true" ma:displayName="Location: Postal Code" ma:internalName="PostalCode" ma:readOnly="true">
      <xsd:simpleType>
        <xsd:restriction base="dms:Text"/>
      </xsd:simpleType>
    </xsd:element>
    <xsd:element name="e3c4b6b6-1436-459b-a221-0c2a444e3382Street" ma:index="23" nillable="true" ma:displayName="Location: Street" ma:internalName="Street" ma:readOnly="true">
      <xsd:simpleType>
        <xsd:restriction base="dms:Text"/>
      </xsd:simpleType>
    </xsd:element>
    <xsd:element name="e3c4b6b6-1436-459b-a221-0c2a444e3382GeoLoc" ma:index="24" nillable="true" ma:displayName="Location: Coordinates" ma:internalName="GeoLoc" ma:readOnly="true">
      <xsd:simpleType>
        <xsd:restriction base="dms:Unknown"/>
      </xsd:simpleType>
    </xsd:element>
    <xsd:element name="e3c4b6b6-1436-459b-a221-0c2a444e3382DispName" ma:index="25" nillable="true" ma:displayName="Location: Name" ma:internalName="DispName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75dd9cf-1201-41b8-8fef-87eb1108c2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ortal" ma:index="32" nillable="true" ma:displayName="Portal" ma:format="Dropdown" ma:internalName="Portal">
      <xsd:simpleType>
        <xsd:restriction base="dms:Text">
          <xsd:maxLength value="255"/>
        </xsd:restriction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_x002f_DataAlignment" ma:index="34" nillable="true" ma:displayName="Type/Data Alignment" ma:format="Dropdown" ma:internalName="Type_x002f_DataAlignment">
      <xsd:simpleType>
        <xsd:restriction base="dms:Note">
          <xsd:maxLength value="255"/>
        </xsd:restriction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6c466-b7e7-420d-9d7a-8be07dface07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0" nillable="true" ma:displayName="Taxonomy Catch All Column" ma:hidden="true" ma:list="{2d10a0c0-cc40-43b6-9d92-574e0fb56d37}" ma:internalName="TaxCatchAll" ma:showField="CatchAllData" ma:web="cb26c466-b7e7-420d-9d7a-8be07dfac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ismic_x0020_Tag" ma:index="40" ma:displayName="Seismic Tag" ma:default="External" ma:description="required for seismic publication" ma:internalName="Seismic_x0020_Tag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E8543E-662C-4B0C-8B28-0C97DF0FB3AC}">
  <ds:schemaRefs>
    <ds:schemaRef ds:uri="http://schemas.microsoft.com/sharepoint/v3"/>
    <ds:schemaRef ds:uri="http://purl.org/dc/dcmitype/"/>
    <ds:schemaRef ds:uri="cb26c466-b7e7-420d-9d7a-8be07dface07"/>
    <ds:schemaRef ds:uri="http://schemas.microsoft.com/office/2006/metadata/properties"/>
    <ds:schemaRef ds:uri="http://purl.org/dc/elements/1.1/"/>
    <ds:schemaRef ds:uri="http://purl.org/dc/terms/"/>
    <ds:schemaRef ds:uri="97137d12-c5e7-4bf8-ab63-816b90ba6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816D5BA-F645-4267-840A-E2BF8D165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7137d12-c5e7-4bf8-ab63-816b90ba6850"/>
    <ds:schemaRef ds:uri="cb26c466-b7e7-420d-9d7a-8be07dfac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E18508-EFC6-4E64-8939-60B8F0DCA9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Learn-Plan</vt:lpstr>
      <vt:lpstr>Performance-Plan</vt:lpstr>
      <vt:lpstr>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Phani Priya Kavuri</dc:creator>
  <cp:keywords/>
  <dc:description/>
  <cp:lastModifiedBy>Vithi IT</cp:lastModifiedBy>
  <cp:revision/>
  <dcterms:created xsi:type="dcterms:W3CDTF">2025-08-22T08:25:00Z</dcterms:created>
  <dcterms:modified xsi:type="dcterms:W3CDTF">2026-04-08T06:25:01Z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0x0101001E1099EF27B6AF4E840B0175E06B61AC</vt:lpwstr>
  </property>
  <property fmtid="{D5CDD505-2E9C-101B-9397-08002B2CF9AE}" pid="3" name="MediaServiceImageTags">
    <vt:lpwstr/>
  </property>
</Properties>
</file>